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Test Cases" sheetId="1" r:id="rId1"/>
    <sheet name="Tổng qua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<sst xmlns="http://schemas.openxmlformats.org/spreadsheetml/2006/main" count="1790" uniqueCount="644">
  <si>
    <t>BỘ TEST CASE CHI TIẾT - WISDOM IT NEWS</t>
  </si>
  <si>
    <t>TCID</t>
  </si>
  <si>
    <t>Vai trò</t>
  </si>
  <si>
    <t>Testcase title</t>
  </si>
  <si>
    <t>Expected Result</t>
  </si>
  <si>
    <t>Actual Result</t>
  </si>
  <si>
    <t>Run type (Manual/Automatic)</t>
  </si>
  <si>
    <t>Tested By</t>
  </si>
  <si>
    <t>Date Started</t>
  </si>
  <si>
    <t>Test Step Details</t>
  </si>
  <si>
    <t>Guest</t>
  </si>
  <si>
    <t>Mở trang chủ khi chưa đăng nhập</t>
  </si>
  <si>
    <t>Trang chủ hiển thị đầy đủ logo, thanh tìm kiếm, menu danh mục, tin mới, tin nổi bật, video, quảng cáo và chân trang.</t>
  </si>
  <si>
    <t>Đạt</t>
  </si>
  <si>
    <t>Thủ công</t>
  </si>
  <si>
    <t>Yên</t>
  </si>
  <si>
    <t/>
  </si>
  <si>
    <t>1. Mở cửa sổ ẩn danh để bảo đảm chưa đăng nhập tài khoản nào.
2. Truy cập trang chủ Wisdom IT News.
3. Chờ trang tải hoàn tất.
4. Kiểm tra logo và thanh tìm kiếm ở đầu trang.
5. Kiểm tra menu danh mục có thể nhìn thấy và bấm được.
6. Cuộn lần lượt qua các khu vực tin mới, tin nổi bật, video và quảng cáo.
7. Kiểm tra các thẻ bài viết có ảnh, tiêu đề, danh mục và thời gian đăng.
8. Cuộn xuống cuối trang và kiểm tra các liên kết ở chân trang.</t>
  </si>
  <si>
    <t>Mở và đóng menu danh mục trên màn hình nhỏ</t>
  </si>
  <si>
    <t>Menu danh mục mở đúng khi bấm biểu tượng ba gạch và đóng lại khi bấm lần nữa.</t>
  </si>
  <si>
    <t>1. Mở cửa sổ ẩn danh để bảo đảm chưa đăng nhập tài khoản nào.
2. Thu nhỏ cửa sổ trình duyệt về kích thước điện thoại hoặc mở bằng điện thoại.
3. Truy cập trang chủ.
4. Nhấn biểu tượng ba gạch cạnh ô tìm kiếm.
5. Kiểm tra danh sách danh mục hiện ra và không che khuất sai vị trí.
6. Nhấn một danh mục và kiểm tra trang danh mục được mở.
7. Quay lại trang chủ, mở menu lần nữa rồi nhấn biểu tượng ba gạch để đóng.
8. Kiểm tra menu đã đóng hoàn toàn.</t>
  </si>
  <si>
    <t>Chuyển vùng tin tức</t>
  </si>
  <si>
    <t>Vùng được đổi theo lựa chọn và trang hiển thị các bài thuộc vùng tương ứng.</t>
  </si>
  <si>
    <t>1. Mở cửa sổ ẩn danh để bảo đảm chưa đăng nhập tài khoản nào.
2. Truy cập trang chủ.
3. Mở danh sách vùng ở thanh trên cùng.
4. Chọn “Hà Nội”.
5. Chờ trang tải lại và kiểm tra vùng đang chọn hiển thị là Hà Nội.
6. Kiểm tra URL hoặc tiêu đề vùng phù hợp.
7. Lặp lại với Đồng Nai và TP. Hồ Chí Minh.
8. Kiểm tra mỗi lần chuyển vùng đều tải được nội dung, không báo lỗi.</t>
  </si>
  <si>
    <t>Xem danh sách bài theo danh mục</t>
  </si>
  <si>
    <t>Trang danh mục hiển thị đúng tên danh mục và chỉ liệt kê các bài phù hợp.</t>
  </si>
  <si>
    <t>1. Mở cửa sổ ẩn danh để bảo đảm chưa đăng nhập tài khoản nào.
2. Truy cập trang chủ.
3. Chọn một danh mục đang có bài, ví dụ “Tin Công Nghệ”.
4. Kiểm tra tiêu đề trang đúng tên danh mục vừa chọn.
5. Kiểm tra các thẻ bài viết được hiển thị.
6. Mở một bài trong danh sách và đối chiếu danh mục của bài.
7. Quay lại danh sách và kiểm tra thứ tự bài mới trước, bài cũ sau.
8. Kiểm tra trang không hiển thị bài đã xóa hoặc chưa xuất bản.</t>
  </si>
  <si>
    <t>Tải thêm bài tại trang chủ</t>
  </si>
  <si>
    <t>Nút tải thêm bổ sung các bài tiếp theo, không lặp lại bài đang có.</t>
  </si>
  <si>
    <t>1. Mở cửa sổ ẩn danh để bảo đảm chưa đăng nhập tài khoản nào.
2. Truy cập trang chủ.
3. Cuộn đến cuối danh sách bài.
4. Ghi nhớ tiêu đề của ba bài cuối đang hiển thị.
5. Nhấn “Tải thêm bài”.
6. Chờ biểu tượng tải kết thúc.
7. Kiểm tra có thêm bài mới xuất hiện phía dưới.
8. Đối chiếu để bảo đảm bài mới không lặp với các bài đã có.
9. Tiếp tục nhấn đến khi hết dữ liệu và kiểm tra nút xử lý phù hợp.</t>
  </si>
  <si>
    <t>Tìm kiếm bài viết bằng từ khóa có kết quả</t>
  </si>
  <si>
    <t>Trang kết quả hiển thị các bài có nội dung phù hợp với từ khóa.</t>
  </si>
  <si>
    <t>1. Mở cửa sổ ẩn danh để bảo đảm chưa đăng nhập tài khoản nào.
2. Truy cập trang chủ.
3. Nhấn vào ô “Tìm kiếm...”.
4. Nhập một từ khóa có dữ liệu, ví dụ “AI”.
5. Quan sát danh sách gợi ý xuất hiện.
6. Nhấn nút kính lúp hoặc Enter.
7. Kiểm tra trang kết quả hiển thị từ khóa đã nhập.
8. Kiểm tra tiêu đề hoặc nội dung các bài có liên quan đến từ khóa.
9. Mở một kết quả và kiểm tra bài viết tải được.</t>
  </si>
  <si>
    <t>Tìm kiếm với từ khóa không có kết quả</t>
  </si>
  <si>
    <t>Hệ thống thông báo không tìm thấy bài phù hợp và không hiển thị dữ liệu sai.</t>
  </si>
  <si>
    <t>1. Mở cửa sổ ẩn danh để bảo đảm chưa đăng nhập tài khoản nào.
2. Truy cập trang chủ.
3. Nhập chuỗi “khongcodulieu999999” vào ô tìm kiếm.
4. Nhấn Enter.
5. Chờ trang kết quả tải xong.
6. Kiểm tra có thông báo không tìm thấy kết quả.
7. Kiểm tra không hiển thị nhầm bài không liên quan.
8. Xóa từ khóa và tìm lại để chắc chắn chức năng vẫn dùng được.</t>
  </si>
  <si>
    <t>Xem gợi ý tìm kiếm</t>
  </si>
  <si>
    <t>Gợi ý từ khóa, danh mục hoặc bài viết xuất hiện và mở đúng nội dung khi được chọn.</t>
  </si>
  <si>
    <t>1. Mở cửa sổ ẩn danh để bảo đảm chưa đăng nhập tài khoản nào.
2. Truy cập trang chủ.
3. Nhấn vào ô tìm kiếm nhưng chưa nhập nội dung.
4. Kiểm tra khu vực từ khóa phổ biến hoặc gợi ý ban đầu.
5. Nhập ít nhất hai ký tự của một tiêu đề đang có.
6. Chờ danh sách gợi ý cập nhật.
7. Kiểm tra gợi ý có ảnh, tiêu đề hoặc tên danh mục phù hợp.
8. Nhấn một gợi ý bài viết.
9. Kiểm tra trang chi tiết đúng bài đã chọn.</t>
  </si>
  <si>
    <t>Xem chi tiết bài viết đã xuất bản</t>
  </si>
  <si>
    <t>Bài viết hiển thị đầy đủ tiêu đề, mô tả, nội dung, ảnh, tác giả, danh mục và khu vực tương tác.</t>
  </si>
  <si>
    <t>1. Mở cửa sổ ẩn danh để bảo đảm chưa đăng nhập tài khoản nào.
2. Từ trang chủ, chọn một bài đã xuất bản.
3. Chờ trang chi tiết tải hoàn tất.
4. Kiểm tra tiêu đề và ảnh bìa trùng với thẻ bài ở trang trước.
5. Kiểm tra tên tác giả, thời gian đăng và danh mục.
6. Cuộn qua toàn bộ nội dung để kiểm tra bài không bị cắt.
7. Kiểm tra khu vực bài liên quan và bài gợi ý.
8. Kiểm tra nút thích, không thích, lưu bài và bình luận được hiển thị.
9. Kiểm tra nếu bài có audio thì trình phát audio xuất hiện và phát được.</t>
  </si>
  <si>
    <t>Tải thêm bài liên quan và bài gợi ý</t>
  </si>
  <si>
    <t>Các bài tiếp theo được bổ sung đúng khu vực và không trùng bài đang xem.</t>
  </si>
  <si>
    <t>1. Mở cửa sổ ẩn danh để bảo đảm chưa đăng nhập tài khoản nào.
2. Mở một bài viết có nhiều bài cùng danh mục.
3. Cuộn đến khu vực “Đọc thêm” hoặc “Bài liên quan”.
4. Ghi lại các tiêu đề đang hiển thị.
5. Nhấn nút tải thêm tại khu vực này nếu có.
6. Chờ dữ liệu mới xuất hiện.
7. Kiểm tra bài đang xem không xuất hiện trong danh sách.
8. Kiểm tra các bài mới không trùng với danh sách ban đầu.
9. Nhấn một bài mới và kiểm tra mở đúng trang.</t>
  </si>
  <si>
    <t>Xem danh sách video và tải thêm video</t>
  </si>
  <si>
    <t>Trang video hiển thị video đã xuất bản và tải thêm đúng dữ liệu.</t>
  </si>
  <si>
    <t>1. Mở cửa sổ ẩn danh để bảo đảm chưa đăng nhập tài khoản nào.
2. Truy cập /Video.
3. Kiểm tra danh sách video có tiêu đề, ảnh đại diện, nguồn và lượt xem.
4. Ghi lại các video đang có.
5. Cuộn xuống cuối danh sách.
6. Nhấn “Tải thêm” nếu có.
7. Kiểm tra video mới xuất hiện và không lặp.
8. Kiểm tra podcast gắn với bài đã xuất bản cũng được hiển thị nếu có.</t>
  </si>
  <si>
    <t>Xem một video và gửi bình luận với tên khách</t>
  </si>
  <si>
    <t>Video phát được; bình luận hợp lệ được ghi nhận và hiển thị theo kết quả kiểm duyệt.</t>
  </si>
  <si>
    <t>1. Mở cửa sổ ẩn danh để bảo đảm chưa đăng nhập tài khoản nào.
2. Mở trang /Video và chọn một video thật trong hệ thống.
3. Kiểm tra video phát được và tiêu đề đúng.
4. Cuộn đến khu vực bình luận.
5. Nhập tên “Khách Test”.
6. Nhập nội dung “Video này rất hữu ích”.
7. Nhấn nút gửi bình luận.
8. Kiểm tra thông báo gửi thành công.
9. Tải lại trang và kiểm tra bình luận xuất hiện nếu được duyệt tự động.</t>
  </si>
  <si>
    <t>Gửi góp ý hợp lệ</t>
  </si>
  <si>
    <t>Hệ thống tiếp nhận góp ý và hiển thị lời cảm ơn.</t>
  </si>
  <si>
    <t>1. Mở cửa sổ ẩn danh để bảo đảm chưa đăng nhập tài khoản nào.
2. Mở một trang bất kỳ trên website.
3. Nhấn nút góp ý hình bong bóng ở góc màn hình.
4. Chọn loại góp ý phù hợp.
5. Nhập mô tả rõ ràng: “Kiểm thử chức năng gửi góp ý”.
6. Nhấn “Gửi”.
7. Kiểm tra thông báo cảm ơn xuất hiện.
8. Đóng hộp góp ý rồi mở lại để kiểm tra biểu mẫu đã được làm mới.</t>
  </si>
  <si>
    <t>Không gửi góp ý khi bỏ trống mô tả</t>
  </si>
  <si>
    <t>Hệ thống yêu cầu nhập mô tả và không tạo góp ý trống.</t>
  </si>
  <si>
    <t>1. Mở cửa sổ ẩn danh để bảo đảm chưa đăng nhập tài khoản nào.
2. Mở hộp góp ý ở góc màn hình.
3. Chọn một loại góp ý.
4. Để trống ô mô tả.
5. Nhấn “Gửi”.
6. Kiểm tra có thông báo yêu cầu nhập mô tả.
7. Kiểm tra hộp góp ý vẫn mở để người dùng bổ sung nội dung.</t>
  </si>
  <si>
    <t>Xem danh sách nguồn RSS và mở RSS feed</t>
  </si>
  <si>
    <t>Danh sách nguồn RSS hiển thị; liên kết feed trả về nội dung RSS hợp lệ.</t>
  </si>
  <si>
    <t>1. Mở cửa sổ ẩn danh để bảo đảm chưa đăng nhập tài khoản nào.
2. Cuộn xuống chân trang và nhấn “RSS”.
3. Kiểm tra trang danh sách RSS hiển thị các nguồn hoặc lựa chọn theo danh mục/vùng.
4. Chọn một liên kết RSS.
5. Kiểm tra trình duyệt hiển thị hoặc tải nội dung XML.
6. Kiểm tra trong feed có tiêu đề kênh và các mục bài viết.
7. Mở liên kết của một bài trong feed.
8. Kiểm tra bài mở đúng trên website.</t>
  </si>
  <si>
    <t>Bật và tắt chế độ tối</t>
  </si>
  <si>
    <t>Giao diện đổi sang nền tối và trở lại nền sáng mà nội dung vẫn đọc được.</t>
  </si>
  <si>
    <t>1. Mở cửa sổ ẩn danh để bảo đảm chưa đăng nhập tài khoản nào.
2. Truy cập trang chủ.
3. Nhấn biểu tượng mặt trăng trên thanh trên cùng.
4. Kiểm tra nền, chữ, menu và thẻ bài đổi sang chế độ tối.
5. Mở một bài viết và kiểm tra chế độ tối vẫn được giữ.
6. Nhấn biểu tượng chế độ sáng.
7. Kiểm tra giao diện trở về nền sáng.
8. Tải lại trang và kiểm tra lựa chọn gần nhất được giữ nếu hệ thống có lưu.</t>
  </si>
  <si>
    <t>Mở trang liên hệ</t>
  </si>
  <si>
    <t>Trang liên hệ hiển thị đúng các thông tin liên lạc và liên kết có thể sử dụng.</t>
  </si>
  <si>
    <t>1. Mở cửa sổ ẩn danh để bảo đảm chưa đăng nhập tài khoản nào.
2. Nhấn “Liên hệ” trên thanh trên cùng.
3. Kiểm tra tiêu đề trang liên hệ.
4. Kiểm tra email, địa chỉ hoặc số điện thoại được hiển thị.
5. Nhấn vào liên kết email nếu có.
6. Kiểm tra trình duyệt mở ứng dụng gửi thư hoặc liên kết đúng.
7. Quay lại trang và kiểm tra các liên kết khác hoạt động.</t>
  </si>
  <si>
    <t>Mở trang giới thiệu quảng cáo khi chưa đăng nhập</t>
  </si>
  <si>
    <t>Trang giới thiệu quảng cáo hiển thị; chức năng xem bảng giá hoặc đăng ký yêu cầu đăng nhập User.</t>
  </si>
  <si>
    <t>1. Mở cửa sổ ẩn danh để bảo đảm chưa đăng nhập tài khoản nào.
2. Nhấn “Quảng cáo” trên thanh trên cùng.
3. Kiểm tra trang giới thiệu quảng cáo mở được.
4. Nhấn nút xem bảng giá hoặc đăng ký.
5. Kiểm tra hệ thống chuyển sang trang đăng nhập User.
6. Kiểm tra đường dẫn quay lại được giữ để sau khi đăng nhập có thể tiếp tục.</t>
  </si>
  <si>
    <t>Đăng ký tài khoản User với dữ liệu hợp lệ</t>
  </si>
  <si>
    <t>Tài khoản Reader được tạo, người dùng được đăng nhập và nhận hướng dẫn xác nhận email.</t>
  </si>
  <si>
    <t>1. Mở cửa sổ ẩn danh để bảo đảm chưa đăng nhập tài khoản nào.
2. Mở menu tài khoản và chọn “Đăng ký”.
3. Nhập họ tên “Nguyễn Văn Test”.
4. Nhập tên đăng nhập mới chưa tồn tại, ví dụ “reader_test_01”.
5. Nhập email mới chưa tồn tại.
6. Nhập mật khẩu hợp lệ và xác nhận đúng mật khẩu.
7. Nhấn “Đăng ký”.
8. Kiểm tra hệ thống về trang chủ và tên tài khoản xuất hiện trên menu.
9. Mở hộp thư trong website và kiểm tra có thông báo chào mừng.
10. Kiểm tra thông báo yêu cầu xác nhận email nếu email chưa được xác nhận.</t>
  </si>
  <si>
    <t>Không đăng ký User khi thiếu trường bắt buộc</t>
  </si>
  <si>
    <t>Hệ thống giữ nguyên biểu mẫu, chỉ rõ trường còn thiếu và không tạo tài khoản.</t>
  </si>
  <si>
    <t>1. Mở cửa sổ ẩn danh để bảo đảm chưa đăng nhập tài khoản nào.
2. Mở trang đăng ký User.
3. Để trống họ tên và tên đăng nhập.
4. Nhập email hợp lệ.
5. Nhập mật khẩu và xác nhận mật khẩu.
6. Nhấn “Đăng ký”.
7. Kiểm tra thông báo lỗi tại các trường bắt buộc.
8. Kiểm tra không chuyển sang trang chủ.
9. Điền lại dữ liệu để chắc chắn biểu mẫu vẫn hoạt động.</t>
  </si>
  <si>
    <t>Không đăng ký User bằng tên đăng nhập hoặc email đã tồn tại</t>
  </si>
  <si>
    <t>Hệ thống thông báo dữ liệu đã được sử dụng và không tạo tài khoản trùng.</t>
  </si>
  <si>
    <t>1. Mở cửa sổ ẩn danh để bảo đảm chưa đăng nhập tài khoản nào.
2. Chuẩn bị một tài khoản User đã tồn tại.
3. Mở trang đăng ký.
4. Nhập lại tên đăng nhập của tài khoản đã có và một email mới.
5. Nhập đầy đủ các trường còn lại rồi nhấn “Đăng ký”.
6. Kiểm tra thông báo tên đăng nhập đã tồn tại.
7. Đổi sang tên đăng nhập mới nhưng nhập email đã tồn tại.
8. Nhấn “Đăng ký” lần nữa.
9. Kiểm tra thông báo email đã được đăng ký.</t>
  </si>
  <si>
    <t>Không đăng ký User khi xác nhận mật khẩu không khớp</t>
  </si>
  <si>
    <t>Hệ thống không tạo tài khoản và thông báo mật khẩu xác nhận không đúng.</t>
  </si>
  <si>
    <t>1. Mở cửa sổ ẩn danh để bảo đảm chưa đăng nhập tài khoản nào.
2. Mở trang đăng ký.
3. Nhập đầy đủ họ tên, tên đăng nhập và email mới.
4. Nhập mật khẩu “User@123”.
5. Nhập xác nhận mật khẩu “User@456”.
6. Nhấn “Đăng ký”.
7. Kiểm tra thông báo hai mật khẩu không khớp.
8. Kiểm tra vẫn ở trang đăng ký.</t>
  </si>
  <si>
    <t>Đăng nhập User thất bại với thông tin sai</t>
  </si>
  <si>
    <t>Hệ thống từ chối đăng nhập và hiển thị thông báo dễ hiểu.</t>
  </si>
  <si>
    <t>1. Mở cửa sổ ẩn danh để bảo đảm chưa đăng nhập tài khoản nào.
2. Mở trang /Account/Login.
3. Nhập tên đăng nhập của User đang có.
4. Nhập mật khẩu “SaiMatKhau123”.
5. Nhấn “Đăng nhập”.
6. Kiểm tra thông báo sai tên đăng nhập/email hoặc mật khẩu.
7. Kiểm tra menu vẫn hiển thị trạng thái chưa đăng nhập.
8. Thử mở trang tài khoản cá nhân và kiểm tra bị chuyển về đăng nhập.</t>
  </si>
  <si>
    <t>Đăng ký Nhà báo với hồ sơ và hợp đồng PDF hợp lệ</t>
  </si>
  <si>
    <t>Hệ thống tạo hồ sơ Nhà báo ở trạng thái chờ duyệt và chuyển về trang đăng nhập.</t>
  </si>
  <si>
    <t>1. Mở cửa sổ ẩn danh để bảo đảm chưa đăng nhập tài khoản nào.
2. Nhấn “Trở thành nhà báo”.
3. Nhập họ tên, tên đăng nhập và email mới.
4. Nhập mật khẩu tối thiểu 6 ký tự và xác nhận đúng.
5. Nhập phần giới thiệu nếu cần.
6. Chọn một tệp hợp đồng PDF hợp lệ nhỏ hơn 10 MB.
7. Nhấn nút đăng ký.
8. Kiểm tra thông báo đăng ký thành công và đang chờ duyệt.
9. Kiểm tra hệ thống chuyển về trang đăng nhập Nhà báo.
10. Thử đăng nhập ngay và kiểm tra tài khoản chưa được phép vào khi chưa duyệt.</t>
  </si>
  <si>
    <t>Không đăng ký Nhà báo khi hợp đồng thiếu hoặc không phải PDF</t>
  </si>
  <si>
    <t>Hệ thống không tạo hồ sơ và yêu cầu tải hợp đồng PDF hợp lệ.</t>
  </si>
  <si>
    <t>1. Mở cửa sổ ẩn danh để bảo đảm chưa đăng nhập tài khoản nào.
2. Mở trang đăng ký Nhà báo.
3. Nhập đầy đủ các trường tài khoản hợp lệ.
4. Không chọn hợp đồng rồi nhấn đăng ký.
5. Kiểm tra thông báo yêu cầu tải hợp đồng đã ký.
6. Chọn một tệp ảnh JPG đổi tên thông thường, không phải PDF hợp lệ.
7. Nhấn đăng ký lần nữa.
8. Kiểm tra hệ thống thông báo tệp không phải PDF hợp lệ.
9. Kiểm tra dữ liệu đã nhập vẫn còn để sửa.</t>
  </si>
  <si>
    <t>User</t>
  </si>
  <si>
    <t>Đăng nhập User bằng tên đăng nhập hợp lệ</t>
  </si>
  <si>
    <t>Đăng nhập thành công, trở về trang trước hoặc trang chủ và menu hiển thị tên tài khoản.</t>
  </si>
  <si>
    <t>1. Mở /Account/Login.
2. Nhập tên đăng nhập của tài khoản User đang hoạt động.
3. Nhập đúng mật khẩu.
4. Nhấn “Đăng nhập”.
5. Kiểm tra chuyển về trang chủ hoặc trang đã yêu cầu trước đó.
6. Kiểm tra tên và ảnh đại diện xuất hiện ở menu tài khoản.
7. Tải lại trang và kiểm tra phiên đăng nhập vẫn còn.</t>
  </si>
  <si>
    <t>Đăng nhập User bằng email hợp lệ</t>
  </si>
  <si>
    <t>Đăng nhập thành công bằng email và sử dụng được các chức năng dành cho User.</t>
  </si>
  <si>
    <t>1. Đăng xuất khỏi tài khoản hiện tại nếu có.
2. Mở trang đăng nhập User.
3. Nhập email của tài khoản User.
4. Nhập đúng mật khẩu.
5. Nhấn “Đăng nhập”.
6. Mở menu tài khoản.
7. Kiểm tra các mục Tài khoản cá nhân, Tin cho bạn, Yêu thích, Lịch sử và Hộp thư xuất hiện.</t>
  </si>
  <si>
    <t>Không đăng nhập được bằng tài khoản bị khóa</t>
  </si>
  <si>
    <t>Hệ thống thông báo tài khoản đã bị khóa và không tạo phiên đăng nhập.</t>
  </si>
  <si>
    <t>1. Chuẩn bị một tài khoản User đã bị Admin khóa.
2. Mở trang đăng nhập.
3. Nhập đúng tên đăng nhập và mật khẩu của tài khoản bị khóa.
4. Nhấn “Đăng nhập”.
5. Kiểm tra thông báo tài khoản đã bị khóa.
6. Nhập trực tiếp /Account/MyProfile.
7. Kiểm tra hệ thống không hiển thị hồ sơ của tài khoản bị khóa.</t>
  </si>
  <si>
    <t>Đăng xuất User</t>
  </si>
  <si>
    <t>Phiên User kết thúc và các trang cần đăng nhập không còn truy cập được.</t>
  </si>
  <si>
    <t>1. Đăng nhập bằng một tài khoản User đang hoạt động đã được chuẩn bị trước.
2. Mở menu tài khoản.
3. Nhấn “Đăng xuất”.
4. Kiểm tra hệ thống trở về trang chủ.
5. Kiểm tra menu hiển thị nút Đăng nhập và Đăng ký.
6. Nhập trực tiếp /Account/MyProfile.
7. Kiểm tra hệ thống chuyển về trang đăng nhập.
8. Nhấn nút Back và kiểm tra dữ liệu cá nhân không còn sử dụng được.</t>
  </si>
  <si>
    <t>Xác nhận email bằng liên kết hợp lệ</t>
  </si>
  <si>
    <t>Email của tài khoản được xác nhận và thông báo nhắc xác nhận biến mất.</t>
  </si>
  <si>
    <t>1. Đăng nhập bằng một tài khoản User đang hoạt động đã được chuẩn bị trước.
2. Mở email xác nhận đã nhận khi đăng ký hoặc nhấn gửi lại email xác nhận.
3. Nhấn liên kết xác nhận trong email.
4. Kiểm tra trang xác nhận hiển thị đúng tài khoản.
5. Nhấn nút xác nhận nếu trang yêu cầu.
6. Kiểm tra thông báo xác nhận thành công.
7. Quay lại trang chủ và tải lại.
8. Kiểm tra thanh nhắc xác nhận email không còn xuất hiện.</t>
  </si>
  <si>
    <t>Gửi lại email xác nhận</t>
  </si>
  <si>
    <t>Hệ thống tạo yêu cầu gửi lại và thông báo kết quả gửi email.</t>
  </si>
  <si>
    <t>1. Đăng nhập bằng một tài khoản User đang hoạt động đã được chuẩn bị trước.
2. Dùng tài khoản chưa xác nhận email.
3. Trên thanh nhắc xác nhận, nhấn “Gửi lại email xác nhận”.
4. Chờ hệ thống xử lý.
5. Kiểm tra thông báo gửi thành công hoặc thông báo cấu hình email rõ ràng.
6. Mở hộp thư email.
7. Kiểm tra email mới có liên kết xác nhận.
8. Mở liên kết và kiểm tra xác nhận được.</t>
  </si>
  <si>
    <t>Xem và cập nhật hồ sơ cá nhân</t>
  </si>
  <si>
    <t>Thông tin mới được lưu và vẫn đúng sau khi tải lại trang.</t>
  </si>
  <si>
    <t>1. Đăng nhập bằng một tài khoản User đang hoạt động đã được chuẩn bị trước.
2. Mở menu tài khoản và chọn “Tài khoản cá nhân”.
3. Kiểm tra họ tên, email, giới thiệu, ảnh đại diện và ảnh bìa hiện tại.
4. Đổi họ tên thành “User Test Updated”.
5. Nhập phần giới thiệu ngắn.
6. Giữ email ở định dạng hợp lệ.
7. Nhấn “Lưu thay đổi”.
8. Kiểm tra thông báo thành công.
9. Tải lại trang và kiểm tra dữ liệu mới vẫn còn.
10. Mở trang hồ sơ công khai và kiểm tra tên mới được hiển thị.</t>
  </si>
  <si>
    <t>Tải ảnh đại diện hợp lệ</t>
  </si>
  <si>
    <t>Ảnh được tải lên và cập nhật ở hồ sơ, menu tài khoản và bài tương tác của User.</t>
  </si>
  <si>
    <t>1. Đăng nhập bằng một tài khoản User đang hoạt động đã được chuẩn bị trước.
2. Mở trang Tài khoản cá nhân.
3. Nhấn nút chọn ảnh đại diện.
4. Chọn tệp JPG hoặc PNG hợp lệ nhỏ hơn giới hạn hiển thị.
5. Xem trước ảnh trước khi gửi nếu có.
6. Xác nhận tải ảnh.
7. Kiểm tra thông báo thành công.
8. Kiểm tra ảnh mới xuất hiện trên trang hồ sơ.
9. Mở menu tài khoản và kiểm tra ảnh mới cũng được cập nhật.</t>
  </si>
  <si>
    <t>Không tải ảnh đại diện sai định dạng hoặc quá lớn</t>
  </si>
  <si>
    <t>Hệ thống từ chối tệp không hợp lệ và giữ ảnh cũ.</t>
  </si>
  <si>
    <t>1. Đăng nhập bằng một tài khoản User đang hoạt động đã được chuẩn bị trước.
2. Mở trang Tài khoản cá nhân.
3. Chọn một tệp không phải ảnh hoặc tệp ảnh vượt giới hạn.
4. Nhấn tải ảnh.
5. Kiểm tra thông báo định dạng hoặc kích thước không hợp lệ.
6. Kiểm tra ảnh đại diện cũ vẫn còn.
7. Chọn lại một ảnh hợp lệ để chắc chắn chức năng vẫn hoạt động.</t>
  </si>
  <si>
    <t>Tải ảnh bìa hồ sơ</t>
  </si>
  <si>
    <t>Ảnh bìa mới được lưu và hiển thị đúng trên hồ sơ công khai.</t>
  </si>
  <si>
    <t>1. Đăng nhập bằng một tài khoản User đang hoạt động đã được chuẩn bị trước.
2. Mở trang Tài khoản cá nhân.
3. Nhấn khu vực thay ảnh bìa.
4. Chọn ảnh JPG, PNG hoặc WebP hợp lệ.
5. Xác nhận tải ảnh.
6. Chờ thông báo hoàn tất.
7. Tải lại trang.
8. Kiểm tra ảnh bìa không bị vỡ và đúng ảnh vừa chọn.
9. Mở trang hồ sơ công khai để kiểm tra lại.</t>
  </si>
  <si>
    <t>Xem hồ sơ công khai, danh sách người theo dõi và đang theo dõi</t>
  </si>
  <si>
    <t>Các trang hồ sơ và danh sách quan hệ hiển thị đúng người dùng.</t>
  </si>
  <si>
    <t>1. Đăng nhập bằng một tài khoản User đang hoạt động đã được chuẩn bị trước.
2. Mở hồ sơ công khai của chính mình từ đường dẫn /u/{username}.
3. Kiểm tra tên, ảnh, giới thiệu và số người theo dõi.
4. Nhấn vào số người theo dõi.
5. Kiểm tra trang danh sách người theo dõi mở đúng.
6. Quay lại và nhấn số đang theo dõi.
7. Kiểm tra danh sách đang theo dõi mở đúng.
8. Mở hồ sơ một người trong danh sách và kiểm tra thông tin khớp.</t>
  </si>
  <si>
    <t>Chọn và lưu danh mục yêu thích</t>
  </si>
  <si>
    <t>Danh mục được lưu và dùng để tạo nội dung Tin cho bạn.</t>
  </si>
  <si>
    <t>1. Đăng nhập bằng một tài khoản User đang hoạt động đã được chuẩn bị trước.
2. Mở menu tài khoản và chọn “Danh mục yêu thích”.
3. Đánh dấu ít nhất hai danh mục.
4. Nhấn nút lưu.
5. Kiểm tra thông báo lưu thành công.
6. Tải lại trang và kiểm tra các lựa chọn vẫn được đánh dấu.
7. Mở “Tin cho bạn”.
8. Kiểm tra có bài thuộc các danh mục vừa chọn.</t>
  </si>
  <si>
    <t>Xem các tab trong trang Tin cho bạn</t>
  </si>
  <si>
    <t>Mỗi tab hiển thị đúng loại dữ liệu: đề xuất, đang theo dõi, đã lưu hoặc lịch sử.</t>
  </si>
  <si>
    <t>1. Đăng nhập bằng một tài khoản User đang hoạt động đã được chuẩn bị trước.
2. Mở /Account/Hub?tab=foryou.
3. Kiểm tra tab “Cho bạn” đang được chọn và có danh sách bài.
4. Chuyển sang tab “Đang theo dõi”.
5. Kiểm tra bài hoặc danh mục đang theo dõi được hiển thị.
6. Chuyển sang tab “Đã lưu”.
7. Kiểm tra các bài đã lưu xuất hiện.
8. Chuyển sang tab lịch sử nếu có.
9. Kiểm tra mỗi lần đổi tab không làm mất phiên đăng nhập.</t>
  </si>
  <si>
    <t>Lưu và bỏ lưu bài viết</t>
  </si>
  <si>
    <t>Trạng thái lưu thay đổi ngay và danh sách Đã lưu cập nhật đúng.</t>
  </si>
  <si>
    <t>1. Đăng nhập bằng một tài khoản User đang hoạt động đã được chuẩn bị trước.
2. Mở một bài viết chưa được lưu.
3. Nhấn nút “Lưu bài”.
4. Kiểm tra biểu tượng hoặc chữ chuyển sang trạng thái đã lưu.
5. Mở trang Tin cho bạn, tab Đã lưu.
6. Kiểm tra bài vừa lưu xuất hiện.
7. Quay lại bài viết và nhấn bỏ lưu.
8. Tải lại tab Đã lưu.
9. Kiểm tra bài đã được loại khỏi danh sách.</t>
  </si>
  <si>
    <t>Theo dõi và bỏ theo dõi danh mục</t>
  </si>
  <si>
    <t>Danh mục được thêm hoặc bỏ khỏi danh sách theo dõi và nguồn tin cập nhật tương ứng.</t>
  </si>
  <si>
    <t>1. Đăng nhập bằng một tài khoản User đang hoạt động đã được chuẩn bị trước.
2. Mở một trang danh mục.
3. Nhấn nút theo dõi danh mục.
4. Kiểm tra nút đổi sang trạng thái đang theo dõi.
5. Mở trang Tin cho bạn, tab Đang theo dõi.
6. Kiểm tra danh mục hoặc bài thuộc danh mục xuất hiện.
7. Quay lại trang danh mục.
8. Nhấn bỏ theo dõi.
9. Kiểm tra trạng thái và danh sách theo dõi được cập nhật.</t>
  </si>
  <si>
    <t>Thích và bỏ thích bài viết</t>
  </si>
  <si>
    <t>Lượt thích và trạng thái nút được cập nhật; bỏ thích đưa số liệu về đúng trạng thái.</t>
  </si>
  <si>
    <t>1. Đăng nhập bằng một tài khoản User đang hoạt động đã được chuẩn bị trước.
2. Mở một bài viết chưa thích.
3. Ghi lại số lượt thích hiện tại.
4. Nhấn nút thích.
5. Kiểm tra nút được đánh dấu và số lượt thích tăng một.
6. Tải lại trang và kiểm tra trạng thái vẫn được giữ.
7. Nhấn nút thích lần nữa để bỏ thích.
8. Kiểm tra số lượt thích giảm và nút trở về trạng thái ban đầu.</t>
  </si>
  <si>
    <t>Không thích và chuyển đổi giữa thích/không thích</t>
  </si>
  <si>
    <t>Một User chỉ giữ một lựa chọn; số lượt thích và không thích cập nhật đúng.</t>
  </si>
  <si>
    <t>1. Đăng nhập bằng một tài khoản User đang hoạt động đã được chuẩn bị trước.
2. Mở một bài viết.
3. Nhấn nút không thích.
4. Kiểm tra số không thích tăng và nút được đánh dấu.
5. Nhấn nút thích.
6. Kiểm tra trạng thái không thích bị bỏ và trạng thái thích được bật.
7. Kiểm tra hai bộ đếm thay đổi đúng.
8. Tải lại trang và kiểm tra chỉ còn một lựa chọn.</t>
  </si>
  <si>
    <t>Gửi bình luận bài viết</t>
  </si>
  <si>
    <t>Bình luận hợp lệ được lưu và hiển thị theo trạng thái kiểm duyệt.</t>
  </si>
  <si>
    <t>1. Đăng nhập bằng một tài khoản User đang hoạt động đã được chuẩn bị trước.
2. Mở một bài viết đã xuất bản.
3. Cuộn đến phần bình luận.
4. Nhập “Bình luận kiểm thử từ User”.
5. Nhấn nút gửi.
6. Kiểm tra thông báo gửi thành công hoặc đang chờ duyệt.
7. Nếu bình luận được hiển thị ngay, kiểm tra tên và thời gian đúng.
8. Tải lại trang và kiểm tra bình luận không bị nhân đôi.</t>
  </si>
  <si>
    <t>Trả lời một bình luận</t>
  </si>
  <si>
    <t>Câu trả lời được gắn đúng bên dưới bình luận cha.</t>
  </si>
  <si>
    <t>1. Đăng nhập bằng một tài khoản User đang hoạt động đã được chuẩn bị trước.
2. Mở bài viết có ít nhất một bình luận.
3. Nhấn “Trả lời” tại một bình luận.
4. Kiểm tra tên người được trả lời hoặc biểu mẫu trả lời xuất hiện.
5. Nhập “Phản hồi kiểm thử”.
6. Nhấn gửi.
7. Kiểm tra câu trả lời nằm đúng nhánh bình luận đã chọn.
8. Tải lại trang và kiểm tra quan hệ cha–con vẫn đúng.</t>
  </si>
  <si>
    <t>Thích và không thích bình luận</t>
  </si>
  <si>
    <t>Mỗi lựa chọn cập nhật đúng bộ đếm và có thể đổi qua lại.</t>
  </si>
  <si>
    <t>1. Đăng nhập bằng một tài khoản User đang hoạt động đã được chuẩn bị trước.
2. Mở bài viết có bình luận.
3. Ghi lại lượt thích và không thích của một bình luận.
4. Nhấn thích bình luận.
5. Kiểm tra lượt thích tăng.
6. Nhấn không thích cùng bình luận.
7. Kiểm tra lượt thích giảm về trước và lượt không thích tăng.
8. Nhấn lại không thích để bỏ lựa chọn.
9. Kiểm tra các bộ đếm trở về đúng giá trị.</t>
  </si>
  <si>
    <t>Xóa bình luận do chính mình tạo</t>
  </si>
  <si>
    <t>Bình luận của User được xóa; User không thể xóa bình luận của người khác.</t>
  </si>
  <si>
    <t>1. Đăng nhập bằng một tài khoản User đang hoạt động đã được chuẩn bị trước.
2. Tạo một bình luận mới để kiểm thử.
3. Tại bình luận của mình, nhấn nút xóa.
4. Chọn Hủy ở hộp xác nhận và kiểm tra bình luận vẫn còn.
5. Nhấn xóa lần nữa và xác nhận.
6. Kiểm tra bình luận biến mất hoặc được đánh dấu đã xóa.
7. Tìm bình luận của User khác.
8. Kiểm tra không có nút xóa dành cho mình tại bình luận đó.</t>
  </si>
  <si>
    <t>Gửi bình luận và trả lời trên video</t>
  </si>
  <si>
    <t>Bình luận video hiển thị đúng; câu trả lời chỉ lồng tối đa một cấp.</t>
  </si>
  <si>
    <t>1. Đăng nhập bằng một tài khoản User đang hoạt động đã được chuẩn bị trước.
2. Mở một video thật đã xuất bản.
3. Cuộn đến phần bình luận.
4. Nhập nội dung bình luận và nhấn gửi.
5. Kiểm tra tên User được tự động sử dụng.
6. Nhấn trả lời một bình luận gốc.
7. Nhập nội dung trả lời và gửi.
8. Kiểm tra câu trả lời nằm dưới bình luận gốc.
9. Thử trả lời một câu trả lời và kiểm tra hệ thống vẫn gắn vào bình luận gốc.</t>
  </si>
  <si>
    <t>Xem lịch sử đọc và xóa lịch sử</t>
  </si>
  <si>
    <t>Lịch sử hiển thị các bài đã xem và có thể xóa toàn bộ.</t>
  </si>
  <si>
    <t>1. Đăng nhập bằng một tài khoản User đang hoạt động đã được chuẩn bị trước.
2. Mở lần lượt hai bài viết khác nhau.
3. Mở menu tài khoản và chọn “Lịch sử xem”.
4. Kiểm tra hai bài vừa đọc có trong danh sách.
5. Kiểm tra thứ tự gần nhất trước.
6. Nhấn “Xóa lịch sử xem”.
7. Xác nhận thao tác.
8. Tải lại trang lịch sử.
9. Kiểm tra danh sách đã trống.</t>
  </si>
  <si>
    <t>Xóa một từ khóa và xóa toàn bộ lịch sử tìm kiếm</t>
  </si>
  <si>
    <t>Từ khóa được xóa đúng từng mục và toàn bộ khi chọn xóa hết.</t>
  </si>
  <si>
    <t>1. Đăng nhập bằng một tài khoản User đang hoạt động đã được chuẩn bị trước.
2. Tìm kiếm hai từ khóa khác nhau.
3. Nhấn lại vào ô tìm kiếm để mở lịch sử.
4. Kiểm tra hai từ khóa vừa tìm xuất hiện.
5. Nhấn dấu xóa bên cạnh một từ khóa.
6. Kiểm tra chỉ từ khóa đó biến mất.
7. Chọn xóa toàn bộ lịch sử tìm kiếm nếu có.
8. Mở lại ô tìm kiếm.
9. Kiểm tra lịch sử cá nhân đã trống.</t>
  </si>
  <si>
    <t>Xem, lọc và tìm kiếm trong Hộp thư</t>
  </si>
  <si>
    <t>Hộp thư hiển thị đúng thông báo và lọc theo từ khóa, loại, trạng thái, ngày.</t>
  </si>
  <si>
    <t>1. Đăng nhập bằng một tài khoản User đang hoạt động đã được chuẩn bị trước.
2. Mở menu tài khoản và chọn “Hộp thư”.
3. Kiểm tra danh sách thông báo và số chưa đọc.
4. Nhập một phần tiêu đề thông báo vào ô tìm kiếm.
5. Chọn trạng thái “Chưa đọc”.
6. Chọn khoảng ngày có dữ liệu.
7. Nhấn lọc.
8. Kiểm tra danh sách chỉ còn thông báo phù hợp.
9. Xóa bộ lọc và kiểm tra toàn bộ danh sách trở lại.</t>
  </si>
  <si>
    <t>Đánh dấu đã đọc và xóa thông báo</t>
  </si>
  <si>
    <t>Trạng thái đọc, số chưa đọc và danh sách được cập nhật đúng.</t>
  </si>
  <si>
    <t>1. Đăng nhập bằng một tài khoản User đang hoạt động đã được chuẩn bị trước.
2. Mở chuông thông báo hoặc Hộp thư.
3. Chọn một thông báo chưa đọc.
4. Nhấn mở hoặc đánh dấu đã đọc.
5. Kiểm tra số thông báo chưa đọc giảm.
6. Chọn nhiều thông báo rồi nhấn xóa đã chọn.
7. Xác nhận xóa.
8. Kiểm tra các thông báo đã chọn biến mất.
9. Nhấn “Xóa đã đọc” và kiểm tra chỉ các thông báo đã đọc bị xóa.</t>
  </si>
  <si>
    <t>Gửi lời mời kết bạn và chấp nhận lời mời</t>
  </si>
  <si>
    <t>Lời mời xuất hiện ở tài khoản nhận và quan hệ chuyển thành bạn bè sau khi chấp nhận.</t>
  </si>
  <si>
    <t>1. Đăng nhập bằng một tài khoản User đang hoạt động đã được chuẩn bị trước.
2. Mở hồ sơ của một User chưa có quan hệ.
3. Nhấn “Kết bạn”.
4. Kiểm tra nút chuyển sang trạng thái đã gửi lời mời.
5. Đăng xuất và đăng nhập tài khoản User nhận.
6. Mở danh sách lời mời kết bạn.
7. Kiểm tra người gửi xuất hiện.
8. Nhấn “Chấp nhận”.
9. Kiểm tra hai tài khoản xuất hiện trong danh sách bạn bè.</t>
  </si>
  <si>
    <t>Từ chối lời mời và hủy kết bạn</t>
  </si>
  <si>
    <t>Lời mời bị loại khi từ chối; quan hệ bạn bè bị xóa khi hủy kết bạn.</t>
  </si>
  <si>
    <t>1. Đăng nhập bằng một tài khoản User đang hoạt động đã được chuẩn bị trước.
2. Chuẩn bị một lời mời kết bạn đang chờ.
3. Mở danh sách lời mời.
4. Nhấn “Từ chối”.
5. Kiểm tra lời mời biến mất và hai bên chưa là bạn.
6. Chuẩn bị một tài khoản đang là bạn bè.
7. Mở hồ sơ hoặc danh sách bạn bè.
8. Nhấn “Hủy kết bạn” và xác nhận.
9. Kiểm tra người đó không còn trong danh sách bạn bè.</t>
  </si>
  <si>
    <t>Theo dõi và bỏ theo dõi một User</t>
  </si>
  <si>
    <t>Số người theo dõi và trạng thái theo dõi được cập nhật đúng.</t>
  </si>
  <si>
    <t>1. Đăng nhập bằng một tài khoản User đang hoạt động đã được chuẩn bị trước.
2. Mở hồ sơ một User khác.
3. Ghi lại số người theo dõi.
4. Nhấn “Theo dõi”.
5. Kiểm tra nút đổi thành “Đang theo dõi” và số tăng một.
6. Mở danh sách đang theo dõi của mình để kiểm tra người đó xuất hiện.
7. Quay lại hồ sơ và nhấn bỏ theo dõi.
8. Kiểm tra số và danh sách cập nhật.</t>
  </si>
  <si>
    <t>Tạo cuộc trò chuyện trực tiếp và gửi tin nhắn</t>
  </si>
  <si>
    <t>Nhóm chat trực tiếp được tạo/mở và tin nhắn xuất hiện cho cả hai User.</t>
  </si>
  <si>
    <t>1. Đăng nhập bằng một tài khoản User đang hoạt động đã được chuẩn bị trước.
2. Mở Hộp thư hoặc khung trò chuyện.
3. Tìm một User khác bằng tên.
4. Chọn bắt đầu trò chuyện trực tiếp.
5. Nhập “Tin nhắn kiểm thử 01”.
6. Nhấn gửi.
7. Kiểm tra tin nhắn xuất hiện trong cuộc trò chuyện.
8. Đăng nhập tài khoản nhận ở trình duyệt khác.
9. Kiểm tra tin nhắn mới xuất hiện và số chưa đọc được cập nhật.</t>
  </si>
  <si>
    <t>Tạo nhóm chat và thêm thành viên</t>
  </si>
  <si>
    <t>Nhóm được tạo với đúng tên, người tạo và các thành viên đã chọn.</t>
  </si>
  <si>
    <t>1. Đăng nhập bằng một tài khoản User đang hoạt động đã được chuẩn bị trước.
2. Mở khung trò chuyện.
3. Chọn tạo nhóm mới.
4. Nhập tên “Nhóm kiểm thử Wisdom”.
5. Tìm và chọn ít nhất hai User.
6. Nhấn tạo nhóm.
7. Kiểm tra nhóm xuất hiện trong danh sách cuộc trò chuyện.
8. Mở thông tin thành viên.
9. Kiểm tra người tạo và các User đã chọn đều có trong nhóm.</t>
  </si>
  <si>
    <t>Gửi tệp, ghim và xóa tin nhắn trong chat</t>
  </si>
  <si>
    <t>Tệp được gửi; tin nhắn được ghim/bỏ ghim và người gửi xóa được tin của mình.</t>
  </si>
  <si>
    <t>1. Đăng nhập bằng một tài khoản User đang hoạt động đã được chuẩn bị trước.
2. Mở một cuộc trò chuyện có quyền gửi tin.
3. Nhấn nút đính kèm và chọn một tệp hợp lệ.
4. Gửi tệp và kiểm tra tên tệp hoặc liên kết tải xuất hiện.
5. Gửi một tin nhắn văn bản mới.
6. Nhấn ghim tin nhắn và mở danh sách đã ghim.
7. Kiểm tra tin vừa ghim xuất hiện.
8. Bỏ ghim rồi kiểm tra danh sách cập nhật.
9. Xóa tin nhắn do mình gửi và kiểm tra tin biến mất.</t>
  </si>
  <si>
    <t>Rời nhóm chat</t>
  </si>
  <si>
    <t>User rời nhóm thành công và không còn xem/gửi tin trong nhóm đó.</t>
  </si>
  <si>
    <t>1. Đăng nhập bằng một tài khoản User đang hoạt động đã được chuẩn bị trước.
2. Mở một nhóm chat mà User không phải người duy nhất.
3. Mở danh sách thành viên để xác nhận mình đang trong nhóm.
4. Nhấn “Rời nhóm”.
5. Chọn Hủy và kiểm tra vẫn ở trong nhóm.
6. Nhấn lại và xác nhận rời nhóm.
7. Kiểm tra nhóm biến mất khỏi danh sách hoặc chuyển sang trạng thái không truy cập.
8. Thử mở lại đường dẫn nhóm và kiểm tra không thể gửi tin.</t>
  </si>
  <si>
    <t>Xem bảng giá và gửi hồ sơ đăng ký quảng cáo cá nhân</t>
  </si>
  <si>
    <t>Đơn quảng cáo được tạo, có mã yêu cầu/hóa đơn và chuyển sang trạng thái chờ duyệt.</t>
  </si>
  <si>
    <t>1. Đăng nhập bằng một tài khoản User đang hoạt động đã được chuẩn bị trước.
2. Mở “Quảng cáo” rồi vào bảng giá.
3. Kiểm tra các vị trí còn lượt mua và giá theo ngày.
4. Chọn một vị trí còn trống.
5. Chọn loại người mua “Cá nhân”.
6. Kiểm tra họ tên và email được điền từ tài khoản; nhập số điện thoại và địa chỉ.
7. Chọn số ngày chạy hợp lệ.
8. Tải hợp đồng dịch vụ đã ký dưới dạng PDF hợp lệ.
9. Nhấn xem lại và kiểm tra số tiền tạm tính đúng giá nhân số ngày.
10. Xác nhận đặt quảng cáo.
11. Kiểm tra trang hoàn tất có mã yêu cầu và mã hóa đơn.</t>
  </si>
  <si>
    <t>Gửi hồ sơ đăng ký quảng cáo công ty</t>
  </si>
  <si>
    <t>Đơn công ty được tạo với đầy đủ thông tin doanh nghiệp và các tệp hợp lệ.</t>
  </si>
  <si>
    <t>1. Đăng nhập bằng một tài khoản User đang hoạt động đã được chuẩn bị trước.
2. Mở trang đăng ký quảng cáo.
3. Chọn loại người mua “Công ty”.
4. Nhập tên công ty, mã số thuế, người đại diện, website và địa chỉ công ty.
5. Nhập thông tin liên hệ.
6. Chọn vị trí và số ngày.
7. Tải hợp đồng PDF bắt buộc.
8. Tải thêm logo, banner, giấy phép kinh doanh và giấy phép quảng cáo bằng định dạng hợp lệ.
9. Nhấn xem lại và đối chiếu toàn bộ thông tin.
10. Xác nhận đặt.
11. Kiểm tra đơn được tạo và thông báo xuất hiện trong Hộp thư.</t>
  </si>
  <si>
    <t>Không gửi đăng ký quảng cáo khi thiếu trường hoặc hợp đồng</t>
  </si>
  <si>
    <t>Hệ thống chỉ rõ thông tin còn thiếu và không tạo đơn.</t>
  </si>
  <si>
    <t>1. Đăng nhập bằng một tài khoản User đang hoạt động đã được chuẩn bị trước.
2. Mở trang đăng ký quảng cáo.
3. Không chọn vị trí hoặc để trống số điện thoại.
4. Nhấn xem lại.
5. Kiểm tra thông báo yêu cầu điền đủ trường bắt buộc.
6. Điền đủ thông tin nhưng không tải hợp đồng PDF.
7. Nhấn xem lại lần nữa.
8. Kiểm tra thông báo yêu cầu tải hợp đồng đã ký.
9. Kiểm tra chưa có mã đơn được tạo.</t>
  </si>
  <si>
    <t>Journalist</t>
  </si>
  <si>
    <t>Đăng nhập Nhà báo đã được duyệt</t>
  </si>
  <si>
    <t>Nhà báo vào được Dashboard và nhìn thấy đúng menu nghiệp vụ.</t>
  </si>
  <si>
    <t>1. Mở /Journalist/Login.
2. Nhập tên đăng nhập hoặc email của Nhà báo đã được duyệt.
3. Nhập đúng mật khẩu.
4. Nhấn “Đăng nhập”.
5. Kiểm tra chuyển đến Dashboard Nhà báo.
6. Kiểm tra menu Viết bài, Video, Podcast, Quảng cáo, Hồ sơ và Hộp thư.
7. Tải lại trang và kiểm tra phiên đăng nhập còn hiệu lực.</t>
  </si>
  <si>
    <t>Không đăng nhập Nhà báo đang chờ duyệt hoặc đã khóa</t>
  </si>
  <si>
    <t>Hệ thống từ chối đăng nhập và thông báo trạng thái tài khoản.</t>
  </si>
  <si>
    <t>1. Chuẩn bị tài khoản Nhà báo chưa được duyệt hoặc đã bị khóa.
2. Mở trang đăng nhập Nhà báo.
3. Nhập đúng tên đăng nhập và mật khẩu.
4. Nhấn “Đăng nhập”.
5. Kiểm tra thông báo tài khoản đang chờ duyệt hoặc đã bị khóa.
6. Nhập trực tiếp /Journalist/Dashboard.
7. Kiểm tra không hiển thị dữ liệu Nhà báo.</t>
  </si>
  <si>
    <t>Xem Dashboard Nhà báo</t>
  </si>
  <si>
    <t>Dashboard hiển thị đúng số bài, trạng thái bài và các lối tắt nghiệp vụ.</t>
  </si>
  <si>
    <t>1. Đăng nhập tại /Journalist/Login bằng tài khoản Nhà báo đã được duyệt.
2. Quan sát các số liệu tổng quan bài viết.
3. Đối chiếu số bài nháp, chờ duyệt, đã xuất bản và bị từ chối với danh sách bên dưới.
4. Kiểm tra bài gần đây có tiêu đề và trạng thái.
5. Nhấn lối tắt viết bài mới.
6. Quay lại Dashboard.
7. Nhấn một bài gần đây và kiểm tra mở đúng màn hình sửa.</t>
  </si>
  <si>
    <t>Cập nhật hồ sơ Nhà báo</t>
  </si>
  <si>
    <t>Họ tên, email và giới thiệu được lưu và hiển thị lại đúng.</t>
  </si>
  <si>
    <t>1. Đăng nhập tại /Journalist/Login bằng tài khoản Nhà báo đã được duyệt.
2. Mở mục “Hồ sơ”.
3. Kiểm tra thông tin hiện tại.
4. Đổi họ tên thành “Nhà báo Test Updated”.
5. Nhập email hợp lệ và phần giới thiệu mới.
6. Nhấn “Lưu thay đổi”.
7. Kiểm tra thông báo thành công.
8. Tải lại trang.
9. Kiểm tra dữ liệu mới vẫn còn.</t>
  </si>
  <si>
    <t>Đổi mật khẩu Nhà báo</t>
  </si>
  <si>
    <t>Mật khẩu mới được lưu; mật khẩu cũ không đăng nhập được và mật khẩu mới đăng nhập được.</t>
  </si>
  <si>
    <t>1. Đăng nhập tại /Journalist/Login bằng tài khoản Nhà báo đã được duyệt.
2. Mở mục Hồ sơ và tìm phần đổi mật khẩu.
3. Nhập đúng mật khẩu hiện tại.
4. Nhập mật khẩu mới tối thiểu 6 ký tự.
5. Nhập lại đúng mật khẩu mới.
6. Nhấn đổi mật khẩu.
7. Đăng xuất.
8. Thử đăng nhập bằng mật khẩu cũ và kiểm tra bị từ chối.
9. Đăng nhập bằng mật khẩu mới và kiểm tra thành công.</t>
  </si>
  <si>
    <t>Không đổi mật khẩu khi mật khẩu hiện tại sai hoặc xác nhận không khớp</t>
  </si>
  <si>
    <t>Hệ thống không đổi mật khẩu và hiển thị đúng lý do.</t>
  </si>
  <si>
    <t>1. Đăng nhập tại /Journalist/Login bằng tài khoản Nhà báo đã được duyệt.
2. Mở phần đổi mật khẩu.
3. Nhập sai mật khẩu hiện tại, nhập mật khẩu mới hợp lệ và xác nhận đúng.
4. Nhấn đổi mật khẩu.
5. Kiểm tra thông báo mật khẩu hiện tại không đúng.
6. Nhập đúng mật khẩu hiện tại nhưng nhập hai mật khẩu mới khác nhau.
7. Nhấn đổi lần nữa.
8. Kiểm tra thông báo xác nhận mật khẩu không khớp.</t>
  </si>
  <si>
    <t>Tải ảnh đại diện Nhà báo</t>
  </si>
  <si>
    <t>Ảnh mới được lưu và xuất hiện trên thanh bên cùng trang hồ sơ.</t>
  </si>
  <si>
    <t>1. Đăng nhập tại /Journalist/Login bằng tài khoản Nhà báo đã được duyệt.
2. Mở mục Hồ sơ.
3. Nhấn chọn ảnh đại diện.
4. Chọn ảnh JPG/PNG/WebP hợp lệ.
5. Xác nhận tải ảnh.
6. Kiểm tra thông báo thành công.
7. Kiểm tra ảnh ở trang hồ sơ.
8. Tải lại Dashboard và kiểm tra ảnh ở thanh bên được cập nhật.</t>
  </si>
  <si>
    <t>Tạo bài viết và lưu nháp</t>
  </si>
  <si>
    <t>Bài được tạo ở trạng thái nháp, thuộc đúng Nhà báo và xuất hiện trong Dashboard.</t>
  </si>
  <si>
    <t>1. Đăng nhập tại /Journalist/Login bằng tài khoản Nhà báo đã được duyệt.
2. Nhấn “Viết bài mới”.
3. Nhập tiêu đề riêng biệt cho bài kiểm thử.
4. Nhập tóm tắt đầy đủ.
5. Soạn nội dung có nhiều đoạn bằng trình soạn thảo.
6. Chọn danh mục và vùng tin.
7. Nhập các tag cách nhau bằng dấu phẩy.
8. Chọn ảnh bìa hợp lệ và nhập mô tả ảnh.
9. Chọn hành động “Lưu nháp”.
10. Nhấn lưu.
11. Kiểm tra bài xuất hiện trong Dashboard với trạng thái nháp.</t>
  </si>
  <si>
    <t>Gửi bài viết để duyệt</t>
  </si>
  <si>
    <t>Bài chuyển sang trạng thái chờ duyệt và Nhân viên/Admin có thể nhìn thấy để xử lý.</t>
  </si>
  <si>
    <t>1. Đăng nhập tại /Journalist/Login bằng tài khoản Nhà báo đã được duyệt.
2. Mở một bài nháp của chính Nhà báo.
3. Kiểm tra đầy đủ tiêu đề, tóm tắt, nội dung, danh mục và ảnh.
4. Chọn hành động “Gửi duyệt”.
5. Nhấn lưu thay đổi.
6. Kiểm tra trạng thái bài chuyển sang Chờ kiểm duyệt.
7. Quay về Dashboard.
8. Kiểm tra bài nằm trong nhóm đang chờ duyệt.
9. Đăng nhập Nhân viên ở trình duyệt khác và kiểm tra bài xuất hiện trong danh sách cần duyệt.</t>
  </si>
  <si>
    <t>Không tạo bài khi thiếu tiêu đề, tóm tắt hoặc nội dung</t>
  </si>
  <si>
    <t>Hệ thống giữ biểu mẫu và yêu cầu điền đủ dữ liệu bắt buộc.</t>
  </si>
  <si>
    <t>1. Đăng nhập tại /Journalist/Login bằng tài khoản Nhà báo đã được duyệt.
2. Mở trang Viết bài mới.
3. Để trống tiêu đề, tóm tắt và nội dung.
4. Chọn danh mục bất kỳ.
5. Nhấn lưu hoặc gửi duyệt.
6. Kiểm tra thông báo tại các trường bắt buộc.
7. Kiểm tra không tạo bài rỗng trong Dashboard.
8. Điền lại dữ liệu để chắc chắn biểu mẫu còn hoạt động.</t>
  </si>
  <si>
    <t>Sửa bài viết của chính Nhà báo</t>
  </si>
  <si>
    <t>Nội dung mới được lưu và chỉ bài thuộc Nhà báo hiện tại mới được phép sửa.</t>
  </si>
  <si>
    <t>1. Đăng nhập tại /Journalist/Login bằng tài khoản Nhà báo đã được duyệt.
2. Mở một bài nháp do chính Nhà báo tạo.
3. Nhấn “Sửa”.
4. Đổi tiêu đề, tóm tắt và một đoạn nội dung.
5. Đổi danh mục hoặc tag.
6. Nhấn lưu.
7. Tải lại màn hình sửa và kiểm tra dữ liệu mới.
8. Quay về Dashboard và kiểm tra tiêu đề mới.
9. Thử nhập URL sửa bài của Nhà báo khác và kiểm tra không được truy cập.</t>
  </si>
  <si>
    <t>Xóa bài viết của chính Nhà báo</t>
  </si>
  <si>
    <t>Bài bị xóa mềm/ẩn khỏi danh sách của Nhà báo và không còn hiển thị công khai.</t>
  </si>
  <si>
    <t>1. Đăng nhập tại /Journalist/Login bằng tài khoản Nhà báo đã được duyệt.
2. Tạo hoặc chọn một bài nháp dùng riêng cho kiểm thử xóa.
3. Nhấn nút xóa.
4. Chọn Hủy và kiểm tra bài vẫn còn.
5. Nhấn xóa lần nữa và xác nhận.
6. Kiểm tra thông báo thành công.
7. Kiểm tra bài biến mất khỏi Dashboard.
8. Thử mở đường dẫn công khai của bài và kiểm tra không còn hiển thị.</t>
  </si>
  <si>
    <t>Tải ảnh vào nội dung bài bằng trình soạn thảo</t>
  </si>
  <si>
    <t>Ảnh được tải lên và chèn đúng vào nội dung bài.</t>
  </si>
  <si>
    <t>1. Đăng nhập tại /Journalist/Login bằng tài khoản Nhà báo đã được duyệt.
2. Mở trang tạo hoặc sửa bài.
3. Trong trình soạn thảo, chọn chức năng chèn ảnh.
4. Chọn ảnh hợp lệ từ máy.
5. Chờ tải ảnh hoàn tất.
6. Kiểm tra ảnh xuất hiện trong nội dung.
7. Lưu bài.
8. Mở lại bài và kiểm tra ảnh không bị mất hoặc vỡ.</t>
  </si>
  <si>
    <t>Kiểm duyệt AI tự động khi gửi bài</t>
  </si>
  <si>
    <t>Bài an toàn giữ trạng thái gửi duyệt; bài có vấn đề được chuyển trạng thái phù hợp và có thông báo.</t>
  </si>
  <si>
    <t>1. Đăng nhập tại /Journalist/Login bằng tài khoản Nhà báo đã được duyệt.
2. Tạo một bài có nội dung bình thường và chọn Gửi duyệt.
3. Lưu bài rồi kiểm tra trạng thái chờ duyệt.
4. Tạo một bài kiểm thử khác bằng nội dung mẫu được Ban biên tập cho phép dùng để kích hoạt kiểm duyệt.
5. Gửi bài.
6. Kiểm tra hệ thống không treo trong khi AI xử lý.
7. Kiểm tra bài được chuyển sang Chờ kiểm duyệt hoặc Bị từ chối theo điểm kiểm duyệt.
8. Mở Hộp thư và kiểm tra có thông báo nếu bài bị từ chối.</t>
  </si>
  <si>
    <t>Xem và lọc Hộp thư Nhà báo</t>
  </si>
  <si>
    <t>Thông báo được lọc đúng theo từ khóa, loại, trạng thái và ngày.</t>
  </si>
  <si>
    <t>1. Đăng nhập tại /Journalist/Login bằng tài khoản Nhà báo đã được duyệt.
2. Mở mục “Hộp thư”.
3. Kiểm tra thông báo duyệt bài, từ chối bài hoặc thông báo chung nếu có.
4. Nhập từ khóa tiêu đề.
5. Chọn trạng thái Chưa đọc.
6. Chọn khoảng ngày.
7. Nhấn lọc.
8. Kiểm tra kết quả phù hợp.
9. Xóa bộ lọc và kiểm tra toàn bộ thông báo trở lại.</t>
  </si>
  <si>
    <t>Đọc và xóa thông báo Nhà báo</t>
  </si>
  <si>
    <t>Số chưa đọc giảm đúng; thông báo đơn lẻ, đã chọn và đã đọc được xóa theo yêu cầu.</t>
  </si>
  <si>
    <t>1. Đăng nhập tại /Journalist/Login bằng tài khoản Nhà báo đã được duyệt.
2. Mở Hộp thư và ghi lại số chưa đọc.
3. Mở một thông báo chưa đọc.
4. Kiểm tra số chưa đọc giảm.
5. Chọn nhiều thông báo.
6. Nhấn xóa đã chọn và xác nhận.
7. Kiểm tra các mục đã chọn biến mất.
8. Nhấn xóa tất cả đã đọc.
9. Kiểm tra chỉ thông báo đã đọc bị xóa.</t>
  </si>
  <si>
    <t>Tạo video YouTube</t>
  </si>
  <si>
    <t>Video được tạo với đúng tiêu đề, nguồn, liên kết và trạng thái.</t>
  </si>
  <si>
    <t>1. Đăng nhập tại /Journalist/Login bằng tài khoản Nhà báo đã được duyệt.
2. Mở mục Video và nhấn tạo video.
3. Chọn loại YouTube.
4. Dán URL YouTube hợp lệ.
5. Nhập tiêu đề, nguồn và mô tả.
6. Chọn trạng thái xuất bản hoặc bản nháp.
7. Nhấn lưu.
8. Kiểm tra video xuất hiện trong danh sách Nhà báo.
9. Nếu xuất bản, mở trang Video công khai và kiểm tra video phát được.</t>
  </si>
  <si>
    <t>Tạo video bằng tệp tải lên</t>
  </si>
  <si>
    <t>Tệp video hợp lệ được tải, lưu và phát được sau khi xuất bản.</t>
  </si>
  <si>
    <t>1. Đăng nhập tại /Journalist/Login bằng tài khoản Nhà báo đã được duyệt.
2. Mở trang tạo video.
3. Chọn loại tải tệp.
4. Chọn tệp MP4 hợp lệ trong giới hạn.
5. Nhập tiêu đề, nguồn và mô tả.
6. Chọn trạng thái xuất bản.
7. Nhấn lưu và chờ quá trình tải hoàn tất.
8. Kiểm tra video xuất hiện trong danh sách.
9. Mở video công khai và kiểm tra phát được.</t>
  </si>
  <si>
    <t>Xóa video của chính Nhà báo</t>
  </si>
  <si>
    <t>Video bị xóa khỏi danh sách và không còn truy cập công khai.</t>
  </si>
  <si>
    <t>1. Đăng nhập tại /Journalist/Login bằng tài khoản Nhà báo đã được duyệt.
2. Mở danh sách Video.
3. Chọn video do Nhà báo hiện tại tạo để kiểm thử.
4. Nhấn xóa.
5. Chọn Hủy và kiểm tra video vẫn còn.
6. Nhấn xóa lần nữa và xác nhận.
7. Kiểm tra video biến mất khỏi danh sách.
8. Mở lại URL video và kiểm tra không còn hiển thị.</t>
  </si>
  <si>
    <t>Xem bảng giá và đặt mua slot quảng cáo</t>
  </si>
  <si>
    <t>Đơn quảng cáo của Nhà báo được tạo, tính đúng số tiền và xuất hiện trong Quảng cáo của tôi.</t>
  </si>
  <si>
    <t>1. Đăng nhập tại /Journalist/Login bằng tài khoản Nhà báo đã được duyệt.
2. Mở mục “Quảng cáo”.
3. Kiểm tra danh sách slot đang hoạt động và giá mỗi ngày.
4. Chọn một slot và nhấn đặt.
5. Nhập tiêu đề, link đích, số điện thoại và số ngày.
6. Tải ảnh banner hợp lệ.
7. Nhấn xác nhận đặt.
8. Kiểm tra số tiền bằng giá một ngày nhân số ngày.
9. Kiểm tra trang xác nhận hiển thị trạng thái đã thanh toán giả lập và chờ duyệt.
10. Mở Quảng cáo của tôi và kiểm tra đơn xuất hiện.</t>
  </si>
  <si>
    <t>Không đặt quảng cáo khi thiếu dữ liệu bắt buộc</t>
  </si>
  <si>
    <t>Hệ thống giữ biểu mẫu và yêu cầu nhập tiêu đề, link đích, số ngày hợp lệ.</t>
  </si>
  <si>
    <t>1. Đăng nhập tại /Journalist/Login bằng tài khoản Nhà báo đã được duyệt.
2. Mở một slot quảng cáo.
3. Để trống tiêu đề và link đích.
4. Nhập số ngày bằng 0.
5. Nhấn đặt quảng cáo.
6. Kiểm tra thông báo yêu cầu nhập đủ dữ liệu và số ngày từ 1 trở lên.
7. Kiểm tra không có đơn mới trong Quảng cáo của tôi.</t>
  </si>
  <si>
    <t>Tải lên podcast có sẵn</t>
  </si>
  <si>
    <t>Tệp audio hợp lệ được lưu và hiển thị trong danh sách podcast của Nhà báo.</t>
  </si>
  <si>
    <t>1. Đăng nhập tại /Journalist/Login bằng tài khoản Nhà báo đã được duyệt.
2. Mở mục Audio/Podcast.
3. Nhấn tải audio lên.
4. Chọn tệp audio hợp lệ.
5. Nhập tiêu đề và mô tả.
6. Tìm và chọn bài viết của chính Nhà báo nếu muốn liên kết.
7. Nhấn lưu.
8. Kiểm tra podcast xuất hiện trong danh sách.
9. Phát thử và kiểm tra âm thanh hoạt động.</t>
  </si>
  <si>
    <t>Tạo podcast tự động từ bài viết</t>
  </si>
  <si>
    <t>Tác vụ tạo audio hoàn tất và podcast mới xuất hiện đúng bài.</t>
  </si>
  <si>
    <t>1. Đăng nhập tại /Journalist/Login bằng tài khoản Nhà báo đã được duyệt.
2. Mở mục Podcast.
3. Tìm một bài viết của chính Nhà báo có nội dung.
4. Nhấn “Tạo audio” hoặc “Tạo podcast”.
5. Quan sát trạng thái đang xử lý.
6. Chờ đến khi hệ thống báo hoàn tất; không đóng trang trong lúc kiểm thử.
7. Kiểm tra podcast mới xuất hiện và gắn đúng bài.
8. Nhấn phát để kiểm tra có âm thanh.
9. Mở lại danh sách để kiểm tra dữ liệu đã được lưu.</t>
  </si>
  <si>
    <t>Xóa podcast của chính Nhà báo</t>
  </si>
  <si>
    <t>Podcast bị xóa khỏi danh sách Nhà báo và không còn phát công khai.</t>
  </si>
  <si>
    <t>1. Đăng nhập tại /Journalist/Login bằng tài khoản Nhà báo đã được duyệt.
2. Mở mục Podcast.
3. Chọn một podcast do Nhà báo hiện tại tải hoặc tạo.
4. Nhấn xóa.
5. Chọn Hủy và kiểm tra podcast vẫn còn.
6. Nhấn xóa lần nữa và xác nhận.
7. Kiểm tra podcast biến mất.
8. Mở trang video/podcast công khai và kiểm tra podcast không còn hiển thị.</t>
  </si>
  <si>
    <t>Đăng xuất Nhà báo</t>
  </si>
  <si>
    <t>Phiên Nhà báo kết thúc và các trang nghiệp vụ yêu cầu đăng nhập lại.</t>
  </si>
  <si>
    <t>1. Đăng nhập tại /Journalist/Login bằng tài khoản Nhà báo đã được duyệt.
2. Nhấn “Đăng xuất” trên thanh bên.
3. Kiểm tra chuyển về trang đăng nhập Nhà báo.
4. Nhập trực tiếp /Journalist/Dashboard.
5. Kiểm tra vẫn ở trang đăng nhập.
6. Nhấn Back và kiểm tra không thao tác được trên dữ liệu cũ.</t>
  </si>
  <si>
    <t>Staff</t>
  </si>
  <si>
    <t>Đăng nhập và đăng xuất Nhân viên</t>
  </si>
  <si>
    <t>Nhân viên vào đúng Dashboard; đăng xuất xóa phiên và chặn các trang quản lý.</t>
  </si>
  <si>
    <t>1. Mở /nhan-vien/Login.
2. Nhập tên đăng nhập và mật khẩu của Nhân viên đang làm việc.
3. Nhấn “Đăng nhập”.
4. Kiểm tra chuyển đến Dashboard Nhân viên.
5. Kiểm tra menu không có mục quản lý User và quản lý Nhân viên.
6. Nhấn “Đăng xuất”.
7. Nhập lại /nhan-vien/Dashboard.
8. Kiểm tra hệ thống yêu cầu đăng nhập.</t>
  </si>
  <si>
    <t>Không đăng nhập Nhân viên bằng thông tin sai hoặc tài khoản ngừng hoạt động</t>
  </si>
  <si>
    <t>Hệ thống từ chối đăng nhập và không mở khu vực Nhân viên.</t>
  </si>
  <si>
    <t>1. Mở trang đăng nhập Nhân viên.
2. Nhập tên đăng nhập hợp lệ nhưng mật khẩu sai.
3. Nhấn đăng nhập và kiểm tra thông báo lỗi.
4. Chuẩn bị tài khoản Nhân viên đã bị ngừng làm việc hoặc khóa.
5. Nhập đúng thông tin tài khoản đó.
6. Nhấn đăng nhập.
7. Kiểm tra vẫn không vào được Dashboard.
8. Nhập URL quản lý trực tiếp và kiểm tra bị chuyển về đăng nhập.</t>
  </si>
  <si>
    <t>Xem Dashboard Nhân viên</t>
  </si>
  <si>
    <t>Dashboard hiển thị đúng tổng bài, bài nháp, bình luận chờ duyệt, góp ý mở và Nhà báo chờ duyệt.</t>
  </si>
  <si>
    <t>1. Đăng nhập tại /nhan-vien/Login bằng tài khoản Nhân viên đang làm việc.
2. Quan sát các thẻ số liệu trên Dashboard.
3. Mở danh sách bài và đối chiếu tổng bài, bài nháp.
4. Mở danh sách bình luận để đối chiếu số chờ duyệt.
5. Mở Báo cáo/Góp ý để đối chiếu số chưa xử lý.
6. Mở danh sách Đối tác để đối chiếu Nhà báo chờ duyệt.
7. Quay lại Dashboard và kiểm tra các lối tắt hoạt động.</t>
  </si>
  <si>
    <t>Xem và tìm kiếm danh sách bài viết</t>
  </si>
  <si>
    <t>Danh sách bài viết hiển thị đúng và bộ lọc/tìm kiếm trả về dữ liệu phù hợp.</t>
  </si>
  <si>
    <t>1. Đăng nhập tại /nhan-vien/Login bằng tài khoản Nhân viên đang làm việc.
2. Mở mục “Kênh Wisdom”.
3. Chờ danh sách bài viết tải hoàn tất.
4. Kiểm tra các cột thông tin và nút thao tác của từng dòng.
5. Nhập từ khóa của một bài viết đang tồn tại.
6. Thực hiện tìm kiếm hoặc lọc.
7. Kiểm tra chỉ dữ liệu phù hợp xuất hiện.
8. Xóa bộ lọc và kiểm tra toàn bộ danh sách trở lại.</t>
  </si>
  <si>
    <t>Thêm bài viết với dữ liệu hợp lệ</t>
  </si>
  <si>
    <t>bài viết được tạo và hiển thị đúng trong danh sách.</t>
  </si>
  <si>
    <t>1. Đăng nhập tại /nhan-vien/Login bằng tài khoản Nhân viên đang làm việc.
2. Mở mục “Kênh Wisdom” và nhấn nút thêm mới.
3. Nhập tiêu đề, mô tả ngắn, nội dung, ảnh bìa/URL ảnh, tag, danh mục, vùng và trạng thái.
4. Kiểm tra lại các trường bắt buộc.
5. Nhấn nút lưu/tạo.
6. Kiểm tra thông báo thành công.
7. Tìm bài viết vừa tạo trong danh sách.
8. Mở chi tiết hoặc màn hình sửa để đối chiếu dữ liệu đã lưu.
9. Mở website công khai và kiểm tra chỉ bài đã xuất bản/được duyệt xuất hiện.</t>
  </si>
  <si>
    <t>Không thêm bài viết khi thiếu dữ liệu bắt buộc</t>
  </si>
  <si>
    <t>Hệ thống báo rõ trường còn thiếu và không tạo bài viết rỗng.</t>
  </si>
  <si>
    <t>1. Đăng nhập tại /nhan-vien/Login bằng tài khoản Nhân viên đang làm việc.
2. Mở form thêm bài viết.
3. Để trống các trường có dấu *.
4. Nhấn nút lưu/tạo.
5. Kiểm tra thông báo yêu cầu nhập dữ liệu.
6. Kiểm tra vẫn ở form để có thể sửa.
7. Quay lại danh sách và kiểm tra không có bài viết rỗng mới.
8. Nhập dữ liệu hợp lệ để chắc chắn form vẫn hoạt động.</t>
  </si>
  <si>
    <t>Sửa thông tin bài viết</t>
  </si>
  <si>
    <t>Thông tin bài viết được cập nhật và giữ nguyên sau khi tải lại.</t>
  </si>
  <si>
    <t>1. Đăng nhập tại /nhan-vien/Login bằng tài khoản Nhân viên đang làm việc.
2. Mở mục “Kênh Wisdom”.
3. Chọn một bài viết dùng cho kiểm thử và nhấn “Sửa”.
4. Ghi lại dữ liệu hiện tại.
5. Thay đổi tiêu đề, mô tả ngắn, nội dung, ảnh bìa/URL ảnh, tag, danh mục, vùng và trạng thái.
6. Nhấn lưu thay đổi.
7. Kiểm tra thông báo thành công.
8. Tải lại trang sửa và kiểm tra dữ liệu mới.
9. Mở website công khai và kiểm tra chỉ bài đã xuất bản/được duyệt xuất hiện.</t>
  </si>
  <si>
    <t>Duyệt hoặc từ chối bài viết</t>
  </si>
  <si>
    <t>Trạng thái bài viết thay đổi đúng và ảnh hưởng đúng đến nơi sử dụng.</t>
  </si>
  <si>
    <t>1. Đăng nhập tại /nhan-vien/Login bằng tài khoản Nhân viên đang làm việc.
2. Mở danh sách bài viết.
3. Chọn một bài viết đang hoạt động.
4. Nhấn nút “Duyệt hoặc từ chối”.
5. Xác nhận thao tác nếu hệ thống hỏi.
6. Kiểm tra trạng thái trên dòng dữ liệu thay đổi.
7. Tải lại trang và kiểm tra trạng thái vẫn được giữ.
8. Mở website công khai và kiểm tra chỉ bài đã xuất bản/được duyệt xuất hiện.</t>
  </si>
  <si>
    <t>Xóa bài viết</t>
  </si>
  <si>
    <t>bài viết được xóa/ẩn đúng sau khi xác nhận và không bị xóa khi chọn Hủy.</t>
  </si>
  <si>
    <t>1. Đăng nhập tại /nhan-vien/Login bằng tài khoản Nhân viên đang làm việc.
2. Mở danh sách bài viết.
3. Chọn một bài viết tạo riêng cho kiểm thử xóa.
4. Nhấn nút xóa.
5. Chọn Hủy và kiểm tra dữ liệu vẫn còn.
6. Nhấn xóa lần nữa và xác nhận.
7. Kiểm tra thông báo thành công.
8. Tìm lại và kiểm tra bài viết đã biến mất hoặc chuyển sang mục đã xóa.
9. Mở website công khai và kiểm tra chỉ bài đã xuất bản/được duyệt xuất hiện.</t>
  </si>
  <si>
    <t>Từ chối bài và nhập lý do</t>
  </si>
  <si>
    <t>Bài chuyển sang trạng thái bị từ chối và Nhà báo nhận được lý do trong Hộp thư.</t>
  </si>
  <si>
    <t>1. Đăng nhập tại /nhan-vien/Login bằng tài khoản Nhân viên đang làm việc.
2. Mở Kênh Wisdom và lọc bài chờ duyệt.
3. Chọn một bài của Nhà báo.
4. Đọc tiêu đề, tóm tắt và nội dung.
5. Nhấn “Từ chối”.
6. Nhập lý do rõ ràng.
7. Xác nhận.
8. Kiểm tra trạng thái bài là Bị từ chối.
9. Đăng nhập Nhà báo và kiểm tra Hộp thư có thông báo kèm lý do.</t>
  </si>
  <si>
    <t>Duyệt và xóa bình luận</t>
  </si>
  <si>
    <t>Bình luận chờ duyệt được xuất bản; bình luận bị xóa không còn hiển thị công khai.</t>
  </si>
  <si>
    <t>1. Đăng nhập tại /nhan-vien/Login bằng tài khoản Nhân viên đang làm việc.
2. Mở mục Bình luận.
3. Chọn bộ lọc Chờ duyệt.
4. Mở nội dung một bình luận và nhấn Duyệt.
5. Kiểm tra bình luận chuyển sang trạng thái đã duyệt.
6. Mở bài viết công khai và kiểm tra bình luận xuất hiện.
7. Quay lại danh sách, chọn một bình luận kiểm thử và nhấn Xóa.
8. Xác nhận xóa.
9. Tải lại bài công khai và kiểm tra bình luận đã biến mất.</t>
  </si>
  <si>
    <t>Xem và tìm kiếm danh sách danh mục</t>
  </si>
  <si>
    <t>Danh sách danh mục hiển thị đúng và bộ lọc/tìm kiếm trả về dữ liệu phù hợp.</t>
  </si>
  <si>
    <t>1. Đăng nhập tại /nhan-vien/Login bằng tài khoản Nhân viên đang làm việc.
2. Mở mục “Danh mục”.
3. Chờ danh sách danh mục tải hoàn tất.
4. Kiểm tra các cột thông tin và nút thao tác của từng dòng.
5. Nhập từ khóa của một danh mục đang tồn tại.
6. Thực hiện tìm kiếm hoặc lọc.
7. Kiểm tra chỉ dữ liệu phù hợp xuất hiện.
8. Xóa bộ lọc và kiểm tra toàn bộ danh sách trở lại.</t>
  </si>
  <si>
    <t>Thêm danh mục với dữ liệu hợp lệ</t>
  </si>
  <si>
    <t>danh mục được tạo và hiển thị đúng trong danh sách.</t>
  </si>
  <si>
    <t>1. Đăng nhập tại /nhan-vien/Login bằng tài khoản Nhân viên đang làm việc.
2. Mở mục “Danh mục” và nhấn nút thêm mới.
3. Nhập tên danh mục, slug, biểu tượng, danh mục cha, thứ tự và trạng thái hiển thị.
4. Kiểm tra lại các trường bắt buộc.
5. Nhấn nút lưu/tạo.
6. Kiểm tra thông báo thành công.
7. Tìm danh mục vừa tạo trong danh sách.
8. Mở chi tiết hoặc màn hình sửa để đối chiếu dữ liệu đã lưu.
9. Mở menu danh mục trên website và kiểm tra thay đổi được phản ánh.</t>
  </si>
  <si>
    <t>Không thêm danh mục khi thiếu dữ liệu bắt buộc</t>
  </si>
  <si>
    <t>Hệ thống báo rõ trường còn thiếu và không tạo danh mục rỗng.</t>
  </si>
  <si>
    <t>1. Đăng nhập tại /nhan-vien/Login bằng tài khoản Nhân viên đang làm việc.
2. Mở form thêm danh mục.
3. Để trống các trường có dấu *.
4. Nhấn nút lưu/tạo.
5. Kiểm tra thông báo yêu cầu nhập dữ liệu.
6. Kiểm tra vẫn ở form để có thể sửa.
7. Quay lại danh sách và kiểm tra không có danh mục rỗng mới.
8. Nhập dữ liệu hợp lệ để chắc chắn form vẫn hoạt động.</t>
  </si>
  <si>
    <t>Sửa thông tin danh mục</t>
  </si>
  <si>
    <t>Thông tin danh mục được cập nhật và giữ nguyên sau khi tải lại.</t>
  </si>
  <si>
    <t>1. Đăng nhập tại /nhan-vien/Login bằng tài khoản Nhân viên đang làm việc.
2. Mở mục “Danh mục”.
3. Chọn một danh mục dùng cho kiểm thử và nhấn “Sửa”.
4. Ghi lại dữ liệu hiện tại.
5. Thay đổi tên danh mục, slug, biểu tượng, danh mục cha, thứ tự và trạng thái hiển thị.
6. Nhấn lưu thay đổi.
7. Kiểm tra thông báo thành công.
8. Tải lại trang sửa và kiểm tra dữ liệu mới.
9. Mở menu danh mục trên website và kiểm tra thay đổi được phản ánh.</t>
  </si>
  <si>
    <t>Ẩn/hiện danh mục</t>
  </si>
  <si>
    <t>Trạng thái danh mục thay đổi đúng và ảnh hưởng đúng đến nơi sử dụng.</t>
  </si>
  <si>
    <t>1. Đăng nhập tại /nhan-vien/Login bằng tài khoản Nhân viên đang làm việc.
2. Mở danh sách danh mục.
3. Chọn một danh mục đang hoạt động.
4. Nhấn nút “Ẩn/hiện”.
5. Xác nhận thao tác nếu hệ thống hỏi.
6. Kiểm tra trạng thái trên dòng dữ liệu thay đổi.
7. Tải lại trang và kiểm tra trạng thái vẫn được giữ.
8. Mở menu danh mục trên website và kiểm tra thay đổi được phản ánh.</t>
  </si>
  <si>
    <t>Xóa danh mục</t>
  </si>
  <si>
    <t>danh mục được xóa/ẩn đúng sau khi xác nhận và không bị xóa khi chọn Hủy.</t>
  </si>
  <si>
    <t>1. Đăng nhập tại /nhan-vien/Login bằng tài khoản Nhân viên đang làm việc.
2. Mở danh sách danh mục.
3. Chọn một danh mục tạo riêng cho kiểm thử xóa.
4. Nhấn nút xóa.
5. Chọn Hủy và kiểm tra dữ liệu vẫn còn.
6. Nhấn xóa lần nữa và xác nhận.
7. Kiểm tra thông báo thành công.
8. Tìm lại và kiểm tra danh mục đã biến mất hoặc chuyển sang mục đã xóa.
9. Mở menu danh mục trên website và kiểm tra thay đổi được phản ánh.</t>
  </si>
  <si>
    <t>Xem và xử lý góp ý/báo lỗi</t>
  </si>
  <si>
    <t>Góp ý được lọc đúng và chuyển sang trạng thái đã xử lý.</t>
  </si>
  <si>
    <t>1. Đăng nhập tại /nhan-vien/Login bằng tài khoản Nhân viên đang làm việc.
2. Mở mục Báo cáo/Góp ý.
3. Chọn bộ lọc chưa xử lý.
4. Mở một góp ý để đọc loại, trang gửi và nội dung.
5. Nhấn “Đánh dấu đã xử lý”.
6. Kiểm tra trạng thái thay đổi.
7. Chuyển sang bộ lọc đã xử lý.
8. Kiểm tra góp ý vừa xử lý xuất hiện đúng nhóm.</t>
  </si>
  <si>
    <t>Xem và tìm kiếm danh sách hồ sơ Nhà báo</t>
  </si>
  <si>
    <t>Danh sách hồ sơ Nhà báo hiển thị đúng và bộ lọc/tìm kiếm trả về dữ liệu phù hợp.</t>
  </si>
  <si>
    <t>1. Đăng nhập tại /nhan-vien/Login bằng tài khoản Nhân viên đang làm việc.
2. Mở mục “Đối tác (Nhà báo)”.
3. Chờ danh sách hồ sơ Nhà báo tải hoàn tất.
4. Kiểm tra các cột thông tin và nút thao tác của từng dòng.
5. Nhập từ khóa của một hồ sơ Nhà báo đang tồn tại.
6. Thực hiện tìm kiếm hoặc lọc.
7. Kiểm tra chỉ dữ liệu phù hợp xuất hiện.
8. Xóa bộ lọc và kiểm tra toàn bộ danh sách trở lại.</t>
  </si>
  <si>
    <t>Thêm hồ sơ Nhà báo với dữ liệu hợp lệ</t>
  </si>
  <si>
    <t>hồ sơ Nhà báo được tạo và hiển thị đúng trong danh sách.</t>
  </si>
  <si>
    <t>1. Đăng nhập tại /nhan-vien/Login bằng tài khoản Nhân viên đang làm việc.
2. Mở mục “Đối tác (Nhà báo)” và nhấn nút thêm mới.
3. Nhập họ tên, bút danh, tên đăng nhập, email, thông tin liên hệ, chuyên môn, tiểu sử và hồ sơ nghề nghiệp.
4. Kiểm tra lại các trường bắt buộc.
5. Nhấn nút lưu/tạo.
6. Kiểm tra thông báo thành công.
7. Tìm hồ sơ Nhà báo vừa tạo trong danh sách.
8. Mở chi tiết hoặc màn hình sửa để đối chiếu dữ liệu đã lưu.
9. Đăng nhập thử tài khoản Nhà báo để kiểm tra quyền hoạt động đúng trạng thái.</t>
  </si>
  <si>
    <t>Không thêm hồ sơ Nhà báo khi thiếu dữ liệu bắt buộc</t>
  </si>
  <si>
    <t>Hệ thống báo rõ trường còn thiếu và không tạo hồ sơ Nhà báo rỗng.</t>
  </si>
  <si>
    <t>1. Đăng nhập tại /nhan-vien/Login bằng tài khoản Nhân viên đang làm việc.
2. Mở form thêm hồ sơ Nhà báo.
3. Để trống các trường có dấu *.
4. Nhấn nút lưu/tạo.
5. Kiểm tra thông báo yêu cầu nhập dữ liệu.
6. Kiểm tra vẫn ở form để có thể sửa.
7. Quay lại danh sách và kiểm tra không có hồ sơ Nhà báo rỗng mới.
8. Nhập dữ liệu hợp lệ để chắc chắn form vẫn hoạt động.</t>
  </si>
  <si>
    <t>Sửa thông tin hồ sơ Nhà báo</t>
  </si>
  <si>
    <t>Thông tin hồ sơ Nhà báo được cập nhật và giữ nguyên sau khi tải lại.</t>
  </si>
  <si>
    <t>1. Đăng nhập tại /nhan-vien/Login bằng tài khoản Nhân viên đang làm việc.
2. Mở mục “Đối tác (Nhà báo)”.
3. Chọn một hồ sơ Nhà báo dùng cho kiểm thử và nhấn “Sửa”.
4. Ghi lại dữ liệu hiện tại.
5. Thay đổi họ tên, bút danh, tên đăng nhập, email, thông tin liên hệ, chuyên môn, tiểu sử và hồ sơ nghề nghiệp.
6. Nhấn lưu thay đổi.
7. Kiểm tra thông báo thành công.
8. Tải lại trang sửa và kiểm tra dữ liệu mới.
9. Đăng nhập thử tài khoản Nhà báo để kiểm tra quyền hoạt động đúng trạng thái.</t>
  </si>
  <si>
    <t>Duyệt hoặc khóa hồ sơ Nhà báo</t>
  </si>
  <si>
    <t>Trạng thái hồ sơ Nhà báo thay đổi đúng và ảnh hưởng đúng đến nơi sử dụng.</t>
  </si>
  <si>
    <t>1. Đăng nhập tại /nhan-vien/Login bằng tài khoản Nhân viên đang làm việc.
2. Mở danh sách hồ sơ Nhà báo.
3. Chọn một hồ sơ Nhà báo đang hoạt động.
4. Nhấn nút “Duyệt hoặc khóa”.
5. Xác nhận thao tác nếu hệ thống hỏi.
6. Kiểm tra trạng thái trên dòng dữ liệu thay đổi.
7. Tải lại trang và kiểm tra trạng thái vẫn được giữ.
8. Đăng nhập thử tài khoản Nhà báo để kiểm tra quyền hoạt động đúng trạng thái.</t>
  </si>
  <si>
    <t>Xóa hồ sơ Nhà báo</t>
  </si>
  <si>
    <t>hồ sơ Nhà báo được xóa/ẩn đúng sau khi xác nhận và không bị xóa khi chọn Hủy.</t>
  </si>
  <si>
    <t>1. Đăng nhập tại /nhan-vien/Login bằng tài khoản Nhân viên đang làm việc.
2. Mở danh sách hồ sơ Nhà báo.
3. Chọn một hồ sơ Nhà báo tạo riêng cho kiểm thử xóa.
4. Nhấn nút xóa.
5. Chọn Hủy và kiểm tra dữ liệu vẫn còn.
6. Nhấn xóa lần nữa và xác nhận.
7. Kiểm tra thông báo thành công.
8. Tìm lại và kiểm tra hồ sơ Nhà báo đã biến mất hoặc chuyển sang mục đã xóa.
9. Đăng nhập thử tài khoản Nhà báo để kiểm tra quyền hoạt động đúng trạng thái.</t>
  </si>
  <si>
    <t>Khôi phục hồ sơ Nhà báo đã xóa</t>
  </si>
  <si>
    <t>hồ sơ Nhà báo được khôi phục và xuất hiện lại trong danh sách đang hoạt động.</t>
  </si>
  <si>
    <t>1. Đăng nhập tại /nhan-vien/Login bằng tài khoản Nhân viên đang làm việc.
2. Mở mục hồ sơ Nhà báo đã xóa.
3. Tìm hồ sơ Nhà báo vừa xóa.
4. Nhấn “Khôi phục”.
5. Xác nhận thao tác nếu có.
6. Kiểm tra thông báo thành công.
7. Quay lại danh sách đang hoạt động và tìm hồ sơ Nhà báo.
8. Kiểm tra dữ liệu và trạng thái được phục hồi đúng.</t>
  </si>
  <si>
    <t>Xem chi tiết và hợp đồng Nhà báo</t>
  </si>
  <si>
    <t>Trang chi tiết hiển thị đầy đủ hồ sơ và mở được hợp đồng PDF đã ký.</t>
  </si>
  <si>
    <t>1. Đăng nhập tại /nhan-vien/Login bằng tài khoản Nhân viên đang làm việc.
2. Mở mục Đối tác (Nhà báo).
3. Chọn một Nhà báo có hợp đồng.
4. Nhấn xem chi tiết.
5. Kiểm tra thông tin cá nhân, liên hệ, chuyên môn và trạng thái.
6. Nhấn liên kết hợp đồng.
7. Kiểm tra PDF mở được và đúng hồ sơ.
8. Quay lại trang chi tiết và kiểm tra không mất trạng thái lọc trước đó nếu có.</t>
  </si>
  <si>
    <t>Xem và tìm kiếm danh sách video</t>
  </si>
  <si>
    <t>Danh sách video hiển thị đúng và bộ lọc/tìm kiếm trả về dữ liệu phù hợp.</t>
  </si>
  <si>
    <t>1. Đăng nhập tại /nhan-vien/Login bằng tài khoản Nhân viên đang làm việc.
2. Mở mục “Video”.
3. Chờ danh sách video tải hoàn tất.
4. Kiểm tra các cột thông tin và nút thao tác của từng dòng.
5. Nhập từ khóa của một video đang tồn tại.
6. Thực hiện tìm kiếm hoặc lọc.
7. Kiểm tra chỉ dữ liệu phù hợp xuất hiện.
8. Xóa bộ lọc và kiểm tra toàn bộ danh sách trở lại.</t>
  </si>
  <si>
    <t>Thêm video với dữ liệu hợp lệ</t>
  </si>
  <si>
    <t>video được tạo và hiển thị đúng trong danh sách.</t>
  </si>
  <si>
    <t>1. Đăng nhập tại /nhan-vien/Login bằng tài khoản Nhân viên đang làm việc.
2. Mở mục “Video” và nhấn nút thêm mới.
3. Nhập loại YouTube hoặc tệp tải lên, URL/tệp video, tiêu đề, nguồn, mô tả và trạng thái.
4. Kiểm tra lại các trường bắt buộc.
5. Nhấn nút lưu/tạo.
6. Kiểm tra thông báo thành công.
7. Tìm video vừa tạo trong danh sách.
8. Mở chi tiết hoặc màn hình sửa để đối chiếu dữ liệu đã lưu.
9. Mở trang Video công khai và kiểm tra video đã xuất bản phát được.</t>
  </si>
  <si>
    <t>Không thêm video khi thiếu dữ liệu bắt buộc</t>
  </si>
  <si>
    <t>Hệ thống báo rõ trường còn thiếu và không tạo video rỗng.</t>
  </si>
  <si>
    <t>1. Đăng nhập tại /nhan-vien/Login bằng tài khoản Nhân viên đang làm việc.
2. Mở form thêm video.
3. Để trống các trường có dấu *.
4. Nhấn nút lưu/tạo.
5. Kiểm tra thông báo yêu cầu nhập dữ liệu.
6. Kiểm tra vẫn ở form để có thể sửa.
7. Quay lại danh sách và kiểm tra không có video rỗng mới.
8. Nhập dữ liệu hợp lệ để chắc chắn form vẫn hoạt động.</t>
  </si>
  <si>
    <t>Sửa thông tin video</t>
  </si>
  <si>
    <t>Thông tin video được cập nhật và giữ nguyên sau khi tải lại.</t>
  </si>
  <si>
    <t>1. Đăng nhập tại /nhan-vien/Login bằng tài khoản Nhân viên đang làm việc.
2. Mở mục “Video”.
3. Chọn một video dùng cho kiểm thử và nhấn “Sửa”.
4. Ghi lại dữ liệu hiện tại.
5. Thay đổi loại YouTube hoặc tệp tải lên, URL/tệp video, tiêu đề, nguồn, mô tả và trạng thái.
6. Nhấn lưu thay đổi.
7. Kiểm tra thông báo thành công.
8. Tải lại trang sửa và kiểm tra dữ liệu mới.
9. Mở trang Video công khai và kiểm tra video đã xuất bản phát được.</t>
  </si>
  <si>
    <t>Xóa video</t>
  </si>
  <si>
    <t>video được xóa/ẩn đúng sau khi xác nhận và không bị xóa khi chọn Hủy.</t>
  </si>
  <si>
    <t>1. Đăng nhập tại /nhan-vien/Login bằng tài khoản Nhân viên đang làm việc.
2. Mở danh sách video.
3. Chọn một video tạo riêng cho kiểm thử xóa.
4. Nhấn nút xóa.
5. Chọn Hủy và kiểm tra dữ liệu vẫn còn.
6. Nhấn xóa lần nữa và xác nhận.
7. Kiểm tra thông báo thành công.
8. Tìm lại và kiểm tra video đã biến mất hoặc chuyển sang mục đã xóa.
9. Mở trang Video công khai và kiểm tra video đã xuất bản phát được.</t>
  </si>
  <si>
    <t>Thêm và bật/tắt nguồn RSS</t>
  </si>
  <si>
    <t>Nguồn RSS được lưu; trạng thái bật/tắt thay đổi và nguồn chỉ nhập khi hoạt động.</t>
  </si>
  <si>
    <t>1. Đăng nhập tại /nhan-vien/Login bằng tài khoản Nhân viên đang làm việc.
2. Mở mục Nhập Bài Báo.
3. Nhập tên nguồn, URL RSS hợp lệ, trang chủ, quốc gia, danh mục mặc định, số bài tối đa và loại nguồn.
4. Nhấn “Thêm nguồn”.
5. Kiểm tra nguồn xuất hiện trong danh sách.
6. Nhấn nút Tắt tại nguồn.
7. Kiểm tra trạng thái chuyển sang tắt.
8. Nhấn bật lại.
9. Tải lại trang và kiểm tra nguồn vẫn hoạt động.</t>
  </si>
  <si>
    <t>Nhập bài từ một nguồn RSS</t>
  </si>
  <si>
    <t>Bài mới được nhập, không nhân đôi bài cũ và thông báo kết quả đúng.</t>
  </si>
  <si>
    <t>1. Đăng nhập tại /nhan-vien/Login bằng tài khoản Nhân viên đang làm việc.
2. Mở mục Nhập Bài Báo.
3. Chọn một nguồn đang hoạt động và có dữ liệu mới.
4. Ghi lại tổng số bài đã nhập hiện tại.
5. Nhấn “Nhập tin” tại nguồn.
6. Chờ quá trình hoàn tất.
7. Kiểm tra thông báo số bài nhập thành công hoặc số bài bỏ qua.
8. Kiểm tra bài mới xuất hiện trong danh sách đã nhập.
9. Nhấn nhập lại ngay và kiểm tra bài trùng được bỏ qua, không nhân đôi.</t>
  </si>
  <si>
    <t>Nhập bài từ tất cả nguồn RSS</t>
  </si>
  <si>
    <t>Hệ thống lần lượt xử lý các nguồn đang bật và hiển thị tổng kết đúng.</t>
  </si>
  <si>
    <t>1. Đăng nhập tại /nhan-vien/Login bằng tài khoản Nhân viên đang làm việc.
2. Mở mục Nhập Bài Báo.
3. Kiểm tra có ít nhất hai nguồn đang bật.
4. Nhấn “Nhập tất cả nguồn”.
5. Xác nhận thao tác.
6. Quan sát trạng thái xử lý cho đến khi kết thúc.
7. Kiểm tra thông báo tổng số bài mới, bài trùng và nguồn lỗi.
8. Kiểm tra danh sách bài đã nhập được cập nhật.
9. Kiểm tra nguồn đang tắt không bị xử lý.</t>
  </si>
  <si>
    <t>Lọc và xóa bài đã nhập từ RSS</t>
  </si>
  <si>
    <t>Danh sách lọc đúng; bài chọn xóa không còn trong danh sách/kênh ngoài.</t>
  </si>
  <si>
    <t>1. Đăng nhập tại /nhan-vien/Login bằng tài khoản Nhân viên đang làm việc.
2. Mở mục Nhập Bài Báo.
3. Chọn nguồn, nhập từ khóa và khoảng ngày.
4. Nhấn Lọc.
5. Kiểm tra kết quả phù hợp.
6. Chọn một hoặc nhiều bài kiểm thử.
7. Nhấn xóa đã chọn.
8. Xác nhận xóa.
9. Tải lại danh sách và kiểm tra các bài đã xóa biến mất.</t>
  </si>
  <si>
    <t>Xem kênh bên ngoài và cập nhật logo nguồn</t>
  </si>
  <si>
    <t>Bài ngoài được lọc đúng và logo nguồn mới hiển thị trên các bài tương ứng.</t>
  </si>
  <si>
    <t>1. Đăng nhập tại /nhan-vien/Login bằng tài khoản Nhân viên đang làm việc.
2. Mở mục Kênh Bên Ngoài.
3. Lọc theo nguồn và nhập từ khóa.
4. Kiểm tra danh sách kết quả.
5. Chọn chức năng cập nhật logo nguồn.
6. Dán URL ảnh logo hợp lệ.
7. Nhấn lưu.
8. Tải lại trang.
9. Kiểm tra logo mới xuất hiện ở các bài của nguồn.</t>
  </si>
  <si>
    <t>Tạo, sửa và xóa lượt xem mẫu</t>
  </si>
  <si>
    <t>Lượt xem được cộng theo phạm vi đã chọn; lô có thể sửa và xóa đúng.</t>
  </si>
  <si>
    <t>1. Đăng nhập tại /nhan-vien/Login bằng tài khoản Nhân viên đang làm việc.
2. Mở Kênh Bên Ngoài hoặc khu vực tạo lượt xem.
3. Chọn phạm vi một bài, nguồn, danh mục hoặc khoảng ngày.
4. Nhập lượt xem tối thiểu và tối đa hợp lệ.
5. Nhấn tạo.
6. Kiểm tra số lượt xem của bài thuộc phạm vi thay đổi trong khoảng.
7. Mở lịch sử lô và sửa khoảng lượt xem.
8. Kiểm tra dữ liệu cập nhật.
9. Xóa lô kiểm thử và kiểm tra lô biến mất.</t>
  </si>
  <si>
    <t>Ghim, bỏ ghim, ẩn và hiện lại tin nổi bật</t>
  </si>
  <si>
    <t>Trạng thái tin nổi bật thay đổi và phản ánh đúng trên trang chủ.</t>
  </si>
  <si>
    <t>1. Đăng nhập tại /nhan-vien/Login bằng tài khoản Nhân viên đang làm việc.
2. Mở mục Tin Nổi Bật Tự Động.
3. Tìm một bài nội bộ hoặc bài ngoài.
4. Nhấn ghim và kiểm tra trạng thái ghim.
5. Mở trang chủ để kiểm tra bài ở khu vực nổi bật.
6. Quay lại và bỏ ghim.
7. Nhấn ẩn bài khỏi nổi bật.
8. Kiểm tra bài không xuất hiện trên trang chủ.
9. Nhấn hiện lại và kiểm tra bài có thể được chọn lại.</t>
  </si>
  <si>
    <t>Gửi thông báo và quản lý thông báo</t>
  </si>
  <si>
    <t>Thông báo được gửi đúng đối tượng; có thể đọc, lọc và xóa.</t>
  </si>
  <si>
    <t>1. Đăng nhập tại /nhan-vien/Login bằng tài khoản Nhân viên đang làm việc.
2. Mở mục Quản lý Thông báo.
3. Nhập tiêu đề và nội dung.
4. Chọn đối tượng Nhà báo hoặc email theo quyền Nhân viên.
5. Chọn biểu tượng và màu.
6. Nhấn gửi.
7. Kiểm tra thông báo xuất hiện trong danh sách.
8. Đăng nhập tài khoản nhận và kiểm tra Hộp thư.
9. Quay lại, đánh dấu đọc và xóa thông báo kiểm thử.</t>
  </si>
  <si>
    <t>Xem lịch sử làm việc</t>
  </si>
  <si>
    <t>Danh sách ghi đúng thao tác của Nhân viên và lọc được theo từ khóa/loại.</t>
  </si>
  <si>
    <t>1. Đăng nhập tại /nhan-vien/Login bằng tài khoản Nhân viên đang làm việc.
2. Thực hiện một thao tác tạo hoặc sửa dữ liệu.
3. Mở mục Lịch sử làm việc.
4. Tìm theo từ khóa liên quan thao tác vừa thực hiện.
5. Chọn loại hành động phù hợp.
6. Nhấn lọc.
7. Kiểm tra có dòng ghi tên Nhân viên, hành động, nội dung và thời gian.
8. Mở lại không lọc và kiểm tra thứ tự mới nhất trước.</t>
  </si>
  <si>
    <t>Tải lên và xóa podcast</t>
  </si>
  <si>
    <t>Podcast do Nhân viên tải được lưu, phát được và xóa đúng.</t>
  </si>
  <si>
    <t>1. Đăng nhập tại /nhan-vien/Login bằng tài khoản Nhân viên đang làm việc.
2. Mở mục Audio/Podcast.
3. Chọn tệp audio hợp lệ.
4. Nhập tiêu đề, mô tả và chọn bài liên kết.
5. Nhấn tải lên.
6. Kiểm tra podcast xuất hiện và phát được.
7. Nhấn xóa podcast vừa tạo.
8. Xác nhận.
9. Kiểm tra podcast biến mất khỏi danh sách.</t>
  </si>
  <si>
    <t>Tạo podcast tự động và theo dõi trạng thái</t>
  </si>
  <si>
    <t>Tác vụ chạy nền hoàn tất, trả đúng trạng thái và tạo podcast cho bài đã chọn.</t>
  </si>
  <si>
    <t>1. Đăng nhập tại /nhan-vien/Login bằng tài khoản Nhân viên đang làm việc.
2. Mở mục Audio/Podcast.
3. Tìm một bài có nội dung bằng ô tìm kiếm.
4. Nhấn tạo podcast.
5. Kiểm tra giao diện hiển thị đang xử lý.
6. Chờ hệ thống trả kết quả; có thể chuyển tab khác rồi quay lại.
7. Kiểm tra không xuất hiện thông báo “không tìm thấy tác vụ”.
8. Kiểm tra podcast mới gắn đúng bài.
9. Phát thử audio.</t>
  </si>
  <si>
    <t>Xem và tìm kiếm danh sách quảng cáo</t>
  </si>
  <si>
    <t>Danh sách quảng cáo hiển thị đúng và bộ lọc/tìm kiếm trả về dữ liệu phù hợp.</t>
  </si>
  <si>
    <t>1. Đăng nhập tại /nhan-vien/Login bằng tài khoản Nhân viên đang làm việc.
2. Mở mục “Quảng cáo”.
3. Chờ danh sách quảng cáo tải hoàn tất.
4. Kiểm tra các cột thông tin và nút thao tác của từng dòng.
5. Nhập từ khóa của một quảng cáo đang tồn tại.
6. Thực hiện tìm kiếm hoặc lọc.
7. Kiểm tra chỉ dữ liệu phù hợp xuất hiện.
8. Xóa bộ lọc và kiểm tra toàn bộ danh sách trở lại.</t>
  </si>
  <si>
    <t>Thêm quảng cáo với dữ liệu hợp lệ</t>
  </si>
  <si>
    <t>quảng cáo được tạo và hiển thị đúng trong danh sách.</t>
  </si>
  <si>
    <t>1. Đăng nhập tại /nhan-vien/Login bằng tài khoản Nhân viên đang làm việc.
2. Mở mục “Quảng cáo” và nhấn nút thêm mới.
3. Nhập tiêu đề, loại ảnh, ảnh banner, link đích, vị trí, ngày chạy và trạng thái.
4. Kiểm tra lại các trường bắt buộc.
5. Nhấn nút lưu/tạo.
6. Kiểm tra thông báo thành công.
7. Tìm quảng cáo vừa tạo trong danh sách.
8. Mở chi tiết hoặc màn hình sửa để đối chiếu dữ liệu đã lưu.
9. Mở vị trí quảng cáo trên website và kiểm tra quảng cáo hiển thị/ẩn đúng.</t>
  </si>
  <si>
    <t>Không thêm quảng cáo khi thiếu dữ liệu bắt buộc</t>
  </si>
  <si>
    <t>Hệ thống báo rõ trường còn thiếu và không tạo quảng cáo rỗng.</t>
  </si>
  <si>
    <t>1. Đăng nhập tại /nhan-vien/Login bằng tài khoản Nhân viên đang làm việc.
2. Mở form thêm quảng cáo.
3. Để trống các trường có dấu *.
4. Nhấn nút lưu/tạo.
5. Kiểm tra thông báo yêu cầu nhập dữ liệu.
6. Kiểm tra vẫn ở form để có thể sửa.
7. Quay lại danh sách và kiểm tra không có quảng cáo rỗng mới.
8. Nhập dữ liệu hợp lệ để chắc chắn form vẫn hoạt động.</t>
  </si>
  <si>
    <t>Sửa thông tin quảng cáo</t>
  </si>
  <si>
    <t>Thông tin quảng cáo được cập nhật và giữ nguyên sau khi tải lại.</t>
  </si>
  <si>
    <t>1. Đăng nhập tại /nhan-vien/Login bằng tài khoản Nhân viên đang làm việc.
2. Mở mục “Quảng cáo”.
3. Chọn một quảng cáo dùng cho kiểm thử và nhấn “Sửa”.
4. Ghi lại dữ liệu hiện tại.
5. Thay đổi tiêu đề, loại ảnh, ảnh banner, link đích, vị trí, ngày chạy và trạng thái.
6. Nhấn lưu thay đổi.
7. Kiểm tra thông báo thành công.
8. Tải lại trang sửa và kiểm tra dữ liệu mới.
9. Mở vị trí quảng cáo trên website và kiểm tra quảng cáo hiển thị/ẩn đúng.</t>
  </si>
  <si>
    <t>Bật/tắt quảng cáo</t>
  </si>
  <si>
    <t>Trạng thái quảng cáo thay đổi đúng và ảnh hưởng đúng đến nơi sử dụng.</t>
  </si>
  <si>
    <t>1. Đăng nhập tại /nhan-vien/Login bằng tài khoản Nhân viên đang làm việc.
2. Mở danh sách quảng cáo.
3. Chọn một quảng cáo đang hoạt động.
4. Nhấn nút “Bật/tắt”.
5. Xác nhận thao tác nếu hệ thống hỏi.
6. Kiểm tra trạng thái trên dòng dữ liệu thay đổi.
7. Tải lại trang và kiểm tra trạng thái vẫn được giữ.
8. Mở vị trí quảng cáo trên website và kiểm tra quảng cáo hiển thị/ẩn đúng.</t>
  </si>
  <si>
    <t>Xóa quảng cáo</t>
  </si>
  <si>
    <t>quảng cáo được xóa/ẩn đúng sau khi xác nhận và không bị xóa khi chọn Hủy.</t>
  </si>
  <si>
    <t>1. Đăng nhập tại /nhan-vien/Login bằng tài khoản Nhân viên đang làm việc.
2. Mở danh sách quảng cáo.
3. Chọn một quảng cáo tạo riêng cho kiểm thử xóa.
4. Nhấn nút xóa.
5. Chọn Hủy và kiểm tra dữ liệu vẫn còn.
6. Nhấn xóa lần nữa và xác nhận.
7. Kiểm tra thông báo thành công.
8. Tìm lại và kiểm tra quảng cáo đã biến mất hoặc chuyển sang mục đã xóa.
9. Mở vị trí quảng cáo trên website và kiểm tra quảng cáo hiển thị/ẩn đúng.</t>
  </si>
  <si>
    <t>Duyệt, từ chối và xác nhận thanh toán quảng cáo</t>
  </si>
  <si>
    <t>Trạng thái nội dung và thanh toán được cập nhật đúng theo thao tác.</t>
  </si>
  <si>
    <t>1. Đăng nhập tại /nhan-vien/Login bằng tài khoản Nhân viên đang làm việc.
2. Mở mục Quảng cáo.
3. Lọc các quảng cáo đang chờ duyệt.
4. Mở một quảng cáo để kiểm tra nội dung, hình ảnh và link.
5. Nhấn Duyệt và kiểm tra trạng thái thay đổi.
6. Chọn một quảng cáo khác, nhấn Từ chối và kiểm tra trạng thái.
7. Chọn quảng cáo chưa xác nhận thanh toán.
8. Nhấn xác nhận thanh toán.
9. Kiểm tra trạng thái thanh toán và khả năng bật quảng cáo.</t>
  </si>
  <si>
    <t>Admin</t>
  </si>
  <si>
    <t>Đăng nhập Admin bằng tài khoản hard-code</t>
  </si>
  <si>
    <t>Đăng nhập thành công bằng admin/password và mở Dashboard Super Admin.</t>
  </si>
  <si>
    <t>1. Mở /admin/Login trong cửa sổ chưa đăng nhập.
2. Nhập tên đăng nhập “admin”.
3. Nhập mật khẩu “password”.
4. Nhấn “Đăng nhập”.
5. Kiểm tra chuyển đến /admin/Dashboard.
6. Kiểm tra tên Administrator và menu quản trị đầy đủ.
7. Tải lại trang và kiểm tra phiên đăng nhập vẫn còn.</t>
  </si>
  <si>
    <t>Đăng nhập Admin thất bại và đăng xuất</t>
  </si>
  <si>
    <t>Thông tin sai bị từ chối; đăng xuất xóa phiên và chặn URL quản trị.</t>
  </si>
  <si>
    <t>1. Mở /admin/Login.
2. Nhập admin và mật khẩu sai.
3. Nhấn đăng nhập.
4. Kiểm tra thông báo sai tên đăng nhập hoặc mật khẩu.
5. Đăng nhập lại bằng admin/password.
6. Nhấn Đăng xuất.
7. Nhập trực tiếp /admin/Dashboard.
8. Kiểm tra chuyển về trang đăng nhập.</t>
  </si>
  <si>
    <t>Mở chế độ quản trị ngoại tuyến khi cơ sở dữ liệu tạm mất kết nối</t>
  </si>
  <si>
    <t>Tài khoản hard-code vẫn vào được trang Offline và không hiển thị sai dữ liệu quản trị.</t>
  </si>
  <si>
    <t>1. Chỉ thực hiện trên môi trường kiểm thử có thể tạm ngắt kết nối cơ sở dữ liệu.
2. Tạm dừng kết nối cơ sở dữ liệu của bản kiểm thử.
3. Mở /admin/Login.
4. Đăng nhập bằng admin/password.
5. Kiểm tra hệ thống chuyển đến trang quản trị ngoại tuyến.
6. Kiểm tra trang thông báo rõ cơ sở dữ liệu đang không sẵn sàng.
7. Khôi phục kết nối cơ sở dữ liệu.
8. Tải lại và đăng nhập lại để kiểm tra Dashboard hoạt động.</t>
  </si>
  <si>
    <t>Xem Dashboard và trang Quản lý</t>
  </si>
  <si>
    <t>Các số liệu tổng quan, biểu đồ/lối tắt và trang quản lý hiển thị đúng.</t>
  </si>
  <si>
    <t>1. Đăng nhập tại /admin/Login bằng tài khoản admin / password.
2. Quan sát các thẻ tổng số bài, người dùng, bình luận, Nhà báo và dữ liệu liên quan.
3. Nhấn từng lối tắt chính và kiểm tra mở đúng trang.
4. Quay về Dashboard.
5. Mở /admin/Manage.
6. Kiểm tra các nhóm chức năng dành cho quản trị viên.
7. Đối chiếu một số số liệu với danh sách chi tiết.
8. Kiểm tra Nhân viên thường không thể mở /admin/Dashboard.</t>
  </si>
  <si>
    <t>1. Đăng nhập tại /admin/Login bằng tài khoản admin / password.
2. Mở mục “Kênh Wisdom”.
3. Chờ danh sách bài viết tải hoàn tất.
4. Kiểm tra các cột thông tin và nút thao tác của từng dòng.
5. Nhập từ khóa của một bài viết đang tồn tại.
6. Thực hiện tìm kiếm hoặc lọc.
7. Kiểm tra chỉ dữ liệu phù hợp xuất hiện.
8. Xóa bộ lọc và kiểm tra toàn bộ danh sách trở lại.</t>
  </si>
  <si>
    <t>1. Đăng nhập tại /admin/Login bằng tài khoản admin / password.
2. Mở mục “Kênh Wisdom” và nhấn nút thêm mới.
3. Nhập tiêu đề, mô tả ngắn, nội dung HTML/TinyMCE, ảnh bìa hoặc URL, tag, danh mục, vùng, trạng thái, tin nổi bật và thời gian đăng.
4. Kiểm tra lại các trường bắt buộc.
5. Nhấn nút lưu/tạo.
6. Kiểm tra thông báo thành công.
7. Tìm bài viết vừa tạo trong danh sách.
8. Mở chi tiết hoặc màn hình sửa để đối chiếu dữ liệu đã lưu.
9. Mở website công khai và kiểm tra bài xuất bản hiển thị đúng; bài nháp/xóa không xuất hiện.</t>
  </si>
  <si>
    <t>1. Đăng nhập tại /admin/Login bằng tài khoản admin / password.
2. Mở form thêm bài viết.
3. Để trống các trường có dấu *.
4. Nhấn nút lưu/tạo.
5. Kiểm tra thông báo yêu cầu nhập dữ liệu.
6. Kiểm tra vẫn ở form để có thể sửa.
7. Quay lại danh sách và kiểm tra không có bài viết rỗng mới.
8. Nhập dữ liệu hợp lệ để chắc chắn form vẫn hoạt động.</t>
  </si>
  <si>
    <t>1. Đăng nhập tại /admin/Login bằng tài khoản admin / password.
2. Mở mục “Kênh Wisdom”.
3. Chọn một bài viết dùng cho kiểm thử và nhấn “Sửa”.
4. Ghi lại dữ liệu hiện tại.
5. Thay đổi tiêu đề, mô tả ngắn, nội dung HTML/TinyMCE, ảnh bìa hoặc URL, tag, danh mục, vùng, trạng thái, tin nổi bật và thời gian đăng.
6. Nhấn lưu thay đổi.
7. Kiểm tra thông báo thành công.
8. Tải lại trang sửa và kiểm tra dữ liệu mới.
9. Mở website công khai và kiểm tra bài xuất bản hiển thị đúng; bài nháp/xóa không xuất hiện.</t>
  </si>
  <si>
    <t>1. Đăng nhập tại /admin/Login bằng tài khoản admin / password.
2. Mở danh sách bài viết.
3. Chọn một bài viết đang hoạt động.
4. Nhấn nút “Duyệt hoặc từ chối”.
5. Xác nhận thao tác nếu hệ thống hỏi.
6. Kiểm tra trạng thái trên dòng dữ liệu thay đổi.
7. Tải lại trang và kiểm tra trạng thái vẫn được giữ.
8. Mở website công khai và kiểm tra bài xuất bản hiển thị đúng; bài nháp/xóa không xuất hiện.</t>
  </si>
  <si>
    <t>1. Đăng nhập tại /admin/Login bằng tài khoản admin / password.
2. Mở danh sách bài viết.
3. Chọn một bài viết tạo riêng cho kiểm thử xóa.
4. Nhấn nút xóa.
5. Chọn Hủy và kiểm tra dữ liệu vẫn còn.
6. Nhấn xóa lần nữa và xác nhận.
7. Kiểm tra thông báo thành công.
8. Tìm lại và kiểm tra bài viết đã biến mất hoặc chuyển sang mục đã xóa.
9. Mở website công khai và kiểm tra bài xuất bản hiển thị đúng; bài nháp/xóa không xuất hiện.</t>
  </si>
  <si>
    <t>Khôi phục bài viết đã xóa</t>
  </si>
  <si>
    <t>bài viết được khôi phục và xuất hiện lại trong danh sách đang hoạt động.</t>
  </si>
  <si>
    <t>1. Đăng nhập tại /admin/Login bằng tài khoản admin / password.
2. Mở mục bài viết đã xóa.
3. Tìm bài viết vừa xóa.
4. Nhấn “Khôi phục”.
5. Xác nhận thao tác nếu có.
6. Kiểm tra thông báo thành công.
7. Quay lại danh sách đang hoạt động và tìm bài viết.
8. Kiểm tra dữ liệu và trạng thái được phục hồi đúng.</t>
  </si>
  <si>
    <t>Tạo audio khi tạo bài mới</t>
  </si>
  <si>
    <t>Audio tải lên hoặc podcast đã tạo được gắn đúng với bài mới.</t>
  </si>
  <si>
    <t>1. Đăng nhập tại /admin/Login bằng tài khoản admin / password.
2. Mở “Viết bài mới”.
3. Nhập đầy đủ tiêu đề, tóm tắt và nội dung.
4. Tải một tệp audio hợp lệ hoặc dùng chức năng tạo audio trong form.
5. Nhập tiêu đề và mô tả podcast.
6. Chọn danh mục và trạng thái xuất bản.
7. Nhấn lưu bài.
8. Mở lại bài vừa tạo.
9. Kiểm tra audio được gắn đúng và phát được trên trang công khai.</t>
  </si>
  <si>
    <t>Tạo audio từ màn hình sửa bài và theo dõi tác vụ</t>
  </si>
  <si>
    <t>Tác vụ Piper được tạo, hoàn tất và trả về podcast mới mà không treo giao diện.</t>
  </si>
  <si>
    <t>Ko đạt</t>
  </si>
  <si>
    <t>1. Đăng nhập tại /admin/Login bằng tài khoản admin / password.
2. Mở một bài có nội dung tại Kênh Wisdom và nhấn Sửa.
3. Nhấn “Tạo audio”.
4. Kiểm tra nút đổi sang trạng thái Piper đang tạo audio.
5. Chờ quá trình chạy nền.
6. Kiểm tra giao diện nhận đúng kết quả tác vụ, không báo “Không tìm thấy tác vụ”.
7. Kiểm tra thông báo tạo thành công.
8. Mở mục Audio/Podcast và tìm podcast của bài.
9. Phát thử audio và kiểm tra tệp hoạt động.</t>
  </si>
  <si>
    <t>Xuất danh sách bài viết ra Excel</t>
  </si>
  <si>
    <t>Tệp Excel được tải về và có đúng các cột/dữ liệu bài viết.</t>
  </si>
  <si>
    <t>1. Đăng nhập tại /admin/Login bằng tài khoản admin / password.
2. Mở Kênh Wisdom.
3. Nhấn nút xuất Excel.
4. Chờ trình duyệt tải tệp.
5. Mở tệp Excel vừa tải.
6. Kiểm tra có tiêu đề cột và dữ liệu bài viết.
7. Đối chiếu ít nhất ba bài với danh sách trên web.
8. Kiểm tra tiếng Việt không bị lỗi ký tự.</t>
  </si>
  <si>
    <t>Duyệt, từ chối và xóa bình luận</t>
  </si>
  <si>
    <t>Trạng thái bình luận và nội dung công khai cập nhật đúng.</t>
  </si>
  <si>
    <t>1. Đăng nhập tại /admin/Login bằng tài khoản admin / password.
2. Mở mục Bình luận.
3. Lọc bình luận chờ duyệt.
4. Duyệt một bình luận và kiểm tra xuất hiện trên bài.
5. Chọn một bình luận khác và xóa.
6. Xác nhận xóa.
7. Kiểm tra bình luận biến mất khỏi danh sách.
8. Mở bài công khai và kiểm tra kết quả tương ứng.</t>
  </si>
  <si>
    <t>1. Đăng nhập tại /admin/Login bằng tài khoản admin / password.
2. Mở mục “Danh mục”.
3. Chờ danh sách danh mục tải hoàn tất.
4. Kiểm tra các cột thông tin và nút thao tác của từng dòng.
5. Nhập từ khóa của một danh mục đang tồn tại.
6. Thực hiện tìm kiếm hoặc lọc.
7. Kiểm tra chỉ dữ liệu phù hợp xuất hiện.
8. Xóa bộ lọc và kiểm tra toàn bộ danh sách trở lại.</t>
  </si>
  <si>
    <t>1. Đăng nhập tại /admin/Login bằng tài khoản admin / password.
2. Mở mục “Danh mục” và nhấn nút thêm mới.
3. Nhập tên, slug, biểu tượng, danh mục cha, thứ tự và trạng thái hiển thị.
4. Kiểm tra lại các trường bắt buộc.
5. Nhấn nút lưu/tạo.
6. Kiểm tra thông báo thành công.
7. Tìm danh mục vừa tạo trong danh sách.
8. Mở chi tiết hoặc màn hình sửa để đối chiếu dữ liệu đã lưu.
9. Kiểm tra menu và trang danh mục công khai thay đổi đúng.</t>
  </si>
  <si>
    <t>1. Đăng nhập tại /admin/Login bằng tài khoản admin / password.
2. Mở form thêm danh mục.
3. Để trống các trường có dấu *.
4. Nhấn nút lưu/tạo.
5. Kiểm tra thông báo yêu cầu nhập dữ liệu.
6. Kiểm tra vẫn ở form để có thể sửa.
7. Quay lại danh sách và kiểm tra không có danh mục rỗng mới.
8. Nhập dữ liệu hợp lệ để chắc chắn form vẫn hoạt động.</t>
  </si>
  <si>
    <t>1. Đăng nhập tại /admin/Login bằng tài khoản admin / password.
2. Mở mục “Danh mục”.
3. Chọn một danh mục dùng cho kiểm thử và nhấn “Sửa”.
4. Ghi lại dữ liệu hiện tại.
5. Thay đổi tên, slug, biểu tượng, danh mục cha, thứ tự và trạng thái hiển thị.
6. Nhấn lưu thay đổi.
7. Kiểm tra thông báo thành công.
8. Tải lại trang sửa và kiểm tra dữ liệu mới.
9. Kiểm tra menu và trang danh mục công khai thay đổi đúng.</t>
  </si>
  <si>
    <t>1. Đăng nhập tại /admin/Login bằng tài khoản admin / password.
2. Mở danh sách danh mục.
3. Chọn một danh mục đang hoạt động.
4. Nhấn nút “Ẩn/hiện”.
5. Xác nhận thao tác nếu hệ thống hỏi.
6. Kiểm tra trạng thái trên dòng dữ liệu thay đổi.
7. Tải lại trang và kiểm tra trạng thái vẫn được giữ.
8. Kiểm tra menu và trang danh mục công khai thay đổi đúng.</t>
  </si>
  <si>
    <t>1. Đăng nhập tại /admin/Login bằng tài khoản admin / password.
2. Mở danh sách danh mục.
3. Chọn một danh mục tạo riêng cho kiểm thử xóa.
4. Nhấn nút xóa.
5. Chọn Hủy và kiểm tra dữ liệu vẫn còn.
6. Nhấn xóa lần nữa và xác nhận.
7. Kiểm tra thông báo thành công.
8. Tìm lại và kiểm tra danh mục đã biến mất hoặc chuyển sang mục đã xóa.
9. Kiểm tra menu và trang danh mục công khai thay đổi đúng.</t>
  </si>
  <si>
    <t>Khôi phục danh mục đã xóa</t>
  </si>
  <si>
    <t>danh mục được khôi phục và xuất hiện lại trong danh sách đang hoạt động.</t>
  </si>
  <si>
    <t>1. Đăng nhập tại /admin/Login bằng tài khoản admin / password.
2. Mở mục danh mục đã xóa.
3. Tìm danh mục vừa xóa.
4. Nhấn “Khôi phục”.
5. Xác nhận thao tác nếu có.
6. Kiểm tra thông báo thành công.
7. Quay lại danh sách đang hoạt động và tìm danh mục.
8. Kiểm tra dữ liệu và trạng thái được phục hồi đúng.</t>
  </si>
  <si>
    <t>Xem, lọc và xóa AI Logs</t>
  </si>
  <si>
    <t>Nhật ký AI lọc đúng theo ngày; có thể xóa một dòng hoặc xóa theo phạm vi.</t>
  </si>
  <si>
    <t>1. Đăng nhập tại /admin/Login bằng tài khoản admin / password.
2. Mở mục AI Logs.
3. Chọn khoảng ngày có dữ liệu.
4. Nhấn lọc và kiểm tra kết quả.
5. Mở một dòng để xem hành động, kết quả và trạng thái.
6. Xóa một dòng kiểm thử và xác nhận.
7. Kiểm tra dòng biến mất.
8. Chọn xóa theo khoảng ngày hoặc xóa tất cả theo chức năng có sẵn.
9. Kiểm tra danh sách cập nhật đúng.</t>
  </si>
  <si>
    <t>Cập nhật và thử cài đặt AI</t>
  </si>
  <si>
    <t>Cấu hình AI được lưu; nút thử chat trả về kết quả hoặc thông báo lỗi rõ ràng.</t>
  </si>
  <si>
    <t>1. Đăng nhập tại /admin/Login bằng tài khoản admin / password.
2. Mở trang Cài đặt AI.
3. Ghi lại cấu hình hiện tại.
4. Thay đổi một giá trị được phép như model, nhiệt độ hoặc giới hạn đầu ra.
5. Nhấn lưu.
6. Tải lại trang và kiểm tra giá trị mới.
7. Nhập một câu hỏi kiểm thử vào phần thử AI.
8. Nhấn gửi.
9. Kiểm tra có câu trả lời hoặc thông báo khóa API/cấu hình rõ ràng.
10. Khôi phục cấu hình ban đầu nếu đây là môi trường dùng chung.</t>
  </si>
  <si>
    <t>Xem, xử lý và lọc góp ý/báo lỗi</t>
  </si>
  <si>
    <t>Góp ý được lọc đúng và chuyển trạng thái đã xử lý.</t>
  </si>
  <si>
    <t>1. Đăng nhập tại /admin/Login bằng tài khoản admin / password.
2. Mở Báo cáo/Góp ý.
3. Lọc theo chưa xử lý.
4. Mở một góp ý.
5. Kiểm tra loại, trang gửi, mô tả và thời gian.
6. Nhấn đánh dấu đã xử lý.
7. Chuyển sang bộ lọc đã xử lý.
8. Kiểm tra góp ý vừa xử lý xuất hiện.</t>
  </si>
  <si>
    <t>Xem và tìm kiếm danh sách tài khoản User</t>
  </si>
  <si>
    <t>Danh sách tài khoản User hiển thị đúng và bộ lọc/tìm kiếm trả về dữ liệu phù hợp.</t>
  </si>
  <si>
    <t>1. Đăng nhập tại /admin/Login bằng tài khoản admin / password.
2. Mở mục “Quản lý tài khoản người dùng”.
3. Chờ danh sách tài khoản User tải hoàn tất.
4. Kiểm tra các cột thông tin và nút thao tác của từng dòng.
5. Nhập từ khóa của một tài khoản User đang tồn tại.
6. Thực hiện tìm kiếm hoặc lọc.
7. Kiểm tra chỉ dữ liệu phù hợp xuất hiện.
8. Xóa bộ lọc và kiểm tra toàn bộ danh sách trở lại.</t>
  </si>
  <si>
    <t>Thêm tài khoản User với dữ liệu hợp lệ</t>
  </si>
  <si>
    <t>tài khoản User được tạo và hiển thị đúng trong danh sách.</t>
  </si>
  <si>
    <t>1. Đăng nhập tại /admin/Login bằng tài khoản admin / password.
2. Mở mục “Quản lý tài khoản người dùng” và nhấn nút thêm mới.
3. Nhập họ tên, tên đăng nhập, email, mật khẩu, số điện thoại, giới thiệu và vai trò.
4. Kiểm tra lại các trường bắt buộc.
5. Nhấn nút lưu/tạo.
6. Kiểm tra thông báo thành công.
7. Tìm tài khoản User vừa tạo trong danh sách.
8. Mở chi tiết hoặc màn hình sửa để đối chiếu dữ liệu đã lưu.
9. Đăng nhập thử tài khoản để kiểm tra trạng thái khóa và vai trò mới.</t>
  </si>
  <si>
    <t>Không thêm tài khoản User khi thiếu dữ liệu bắt buộc</t>
  </si>
  <si>
    <t>Hệ thống báo rõ trường còn thiếu và không tạo tài khoản User rỗng.</t>
  </si>
  <si>
    <t>1. Đăng nhập tại /admin/Login bằng tài khoản admin / password.
2. Mở form thêm tài khoản User.
3. Để trống các trường có dấu *.
4. Nhấn nút lưu/tạo.
5. Kiểm tra thông báo yêu cầu nhập dữ liệu.
6. Kiểm tra vẫn ở form để có thể sửa.
7. Quay lại danh sách và kiểm tra không có tài khoản User rỗng mới.
8. Nhập dữ liệu hợp lệ để chắc chắn form vẫn hoạt động.</t>
  </si>
  <si>
    <t>Sửa thông tin tài khoản User</t>
  </si>
  <si>
    <t>Thông tin tài khoản User được cập nhật và giữ nguyên sau khi tải lại.</t>
  </si>
  <si>
    <t>1. Đăng nhập tại /admin/Login bằng tài khoản admin / password.
2. Mở mục “Quản lý tài khoản người dùng”.
3. Chọn một tài khoản User dùng cho kiểm thử và nhấn “Sửa”.
4. Ghi lại dữ liệu hiện tại.
5. Thay đổi họ tên, tên đăng nhập, email, mật khẩu, số điện thoại, giới thiệu và vai trò.
6. Nhấn lưu thay đổi.
7. Kiểm tra thông báo thành công.
8. Tải lại trang sửa và kiểm tra dữ liệu mới.
9. Đăng nhập thử tài khoản để kiểm tra trạng thái khóa và vai trò mới.</t>
  </si>
  <si>
    <t>Khóa/mở khóa tài khoản User</t>
  </si>
  <si>
    <t>Trạng thái tài khoản User thay đổi đúng và ảnh hưởng đúng đến nơi sử dụng.</t>
  </si>
  <si>
    <t>1. Đăng nhập tại /admin/Login bằng tài khoản admin / password.
2. Mở danh sách tài khoản User.
3. Chọn một tài khoản User đang hoạt động.
4. Nhấn nút “Khóa/mở khóa”.
5. Xác nhận thao tác nếu hệ thống hỏi.
6. Kiểm tra trạng thái trên dòng dữ liệu thay đổi.
7. Tải lại trang và kiểm tra trạng thái vẫn được giữ.
8. Đăng nhập thử tài khoản để kiểm tra trạng thái khóa và vai trò mới.</t>
  </si>
  <si>
    <t>Xóa tài khoản User</t>
  </si>
  <si>
    <t>tài khoản User được xóa/ẩn đúng sau khi xác nhận và không bị xóa khi chọn Hủy.</t>
  </si>
  <si>
    <t>1. Đăng nhập tại /admin/Login bằng tài khoản admin / password.
2. Mở danh sách tài khoản User.
3. Chọn một tài khoản User tạo riêng cho kiểm thử xóa.
4. Nhấn nút xóa.
5. Chọn Hủy và kiểm tra dữ liệu vẫn còn.
6. Nhấn xóa lần nữa và xác nhận.
7. Kiểm tra thông báo thành công.
8. Tìm lại và kiểm tra tài khoản User đã biến mất hoặc chuyển sang mục đã xóa.
9. Đăng nhập thử tài khoản để kiểm tra trạng thái khóa và vai trò mới.</t>
  </si>
  <si>
    <t>Khôi phục tài khoản User đã xóa</t>
  </si>
  <si>
    <t>tài khoản User được khôi phục và xuất hiện lại trong danh sách đang hoạt động.</t>
  </si>
  <si>
    <t>1. Đăng nhập tại /admin/Login bằng tài khoản admin / password.
2. Mở mục tài khoản User đã xóa.
3. Tìm tài khoản User vừa xóa.
4. Nhấn “Khôi phục”.
5. Xác nhận thao tác nếu có.
6. Kiểm tra thông báo thành công.
7. Quay lại danh sách đang hoạt động và tìm tài khoản User.
8. Kiểm tra dữ liệu và trạng thái được phục hồi đúng.</t>
  </si>
  <si>
    <t>Đổi vai trò tài khoản User</t>
  </si>
  <si>
    <t>Vai trò được cập nhật và menu/quyền đăng nhập thay đổi đúng.</t>
  </si>
  <si>
    <t>1. Đăng nhập tại /admin/Login bằng tài khoản admin / password.
2. Mở Quản lý tài khoản người dùng.
3. Chọn một tài khoản kiểm thử.
4. Mở chi tiết hoặc màn hình sửa.
5. Đổi vai trò sang giá trị được phép.
6. Nhấn lưu.
7. Kiểm tra vai trò mới trong danh sách.
8. Đăng xuất Admin và đăng nhập tài khoản đó.
9. Kiểm tra khu vực được chuyển đến và menu đúng vai trò.
10. Đổi lại vai trò ban đầu sau kiểm thử.</t>
  </si>
  <si>
    <t>Xem và tìm kiếm danh sách tài khoản Nhân viên</t>
  </si>
  <si>
    <t>Danh sách tài khoản Nhân viên hiển thị đúng và bộ lọc/tìm kiếm trả về dữ liệu phù hợp.</t>
  </si>
  <si>
    <t>1. Đăng nhập tại /admin/Login bằng tài khoản admin / password.
2. Mở mục “Quản lý nhân viên”.
3. Chờ danh sách tài khoản Nhân viên tải hoàn tất.
4. Kiểm tra các cột thông tin và nút thao tác của từng dòng.
5. Nhập từ khóa của một tài khoản Nhân viên đang tồn tại.
6. Thực hiện tìm kiếm hoặc lọc.
7. Kiểm tra chỉ dữ liệu phù hợp xuất hiện.
8. Xóa bộ lọc và kiểm tra toàn bộ danh sách trở lại.</t>
  </si>
  <si>
    <t>Thêm tài khoản Nhân viên với dữ liệu hợp lệ</t>
  </si>
  <si>
    <t>tài khoản Nhân viên được tạo và hiển thị đúng trong danh sách.</t>
  </si>
  <si>
    <t>1. Đăng nhập tại /admin/Login bằng tài khoản admin / password.
2. Mở mục “Quản lý nhân viên” và nhấn nút thêm mới.
3. Nhập họ tên, tên đăng nhập, email, mật khẩu, giới tính, địa chỉ và vai trò editor/superadmin.
4. Kiểm tra lại các trường bắt buộc.
5. Nhấn nút lưu/tạo.
6. Kiểm tra thông báo thành công.
7. Tìm tài khoản Nhân viên vừa tạo trong danh sách.
8. Mở chi tiết hoặc màn hình sửa để đối chiếu dữ liệu đã lưu.
9. Đăng nhập thử tài khoản Nhân viên để kiểm tra quyền và trạng thái làm việc.</t>
  </si>
  <si>
    <t>Không thêm tài khoản Nhân viên khi thiếu dữ liệu bắt buộc</t>
  </si>
  <si>
    <t>Hệ thống báo rõ trường còn thiếu và không tạo tài khoản Nhân viên rỗng.</t>
  </si>
  <si>
    <t>1. Đăng nhập tại /admin/Login bằng tài khoản admin / password.
2. Mở form thêm tài khoản Nhân viên.
3. Để trống các trường có dấu *.
4. Nhấn nút lưu/tạo.
5. Kiểm tra thông báo yêu cầu nhập dữ liệu.
6. Kiểm tra vẫn ở form để có thể sửa.
7. Quay lại danh sách và kiểm tra không có tài khoản Nhân viên rỗng mới.
8. Nhập dữ liệu hợp lệ để chắc chắn form vẫn hoạt động.</t>
  </si>
  <si>
    <t>Sửa thông tin tài khoản Nhân viên</t>
  </si>
  <si>
    <t>Thông tin tài khoản Nhân viên được cập nhật và giữ nguyên sau khi tải lại.</t>
  </si>
  <si>
    <t>1. Đăng nhập tại /admin/Login bằng tài khoản admin / password.
2. Mở mục “Quản lý nhân viên”.
3. Chọn một tài khoản Nhân viên dùng cho kiểm thử và nhấn “Sửa”.
4. Ghi lại dữ liệu hiện tại.
5. Thay đổi họ tên, tên đăng nhập, email, mật khẩu, giới tính, địa chỉ và vai trò editor/superadmin.
6. Nhấn lưu thay đổi.
7. Kiểm tra thông báo thành công.
8. Tải lại trang sửa và kiểm tra dữ liệu mới.
9. Đăng nhập thử tài khoản Nhân viên để kiểm tra quyền và trạng thái làm việc.</t>
  </si>
  <si>
    <t>Đổi trạng thái làm việc tài khoản Nhân viên</t>
  </si>
  <si>
    <t>Trạng thái tài khoản Nhân viên thay đổi đúng và ảnh hưởng đúng đến nơi sử dụng.</t>
  </si>
  <si>
    <t>1. Đăng nhập tại /admin/Login bằng tài khoản admin / password.
2. Mở danh sách tài khoản Nhân viên.
3. Chọn một tài khoản Nhân viên đang hoạt động.
4. Nhấn nút “Đổi trạng thái làm việc”.
5. Xác nhận thao tác nếu hệ thống hỏi.
6. Kiểm tra trạng thái trên dòng dữ liệu thay đổi.
7. Tải lại trang và kiểm tra trạng thái vẫn được giữ.
8. Đăng nhập thử tài khoản Nhân viên để kiểm tra quyền và trạng thái làm việc.</t>
  </si>
  <si>
    <t>Xóa tài khoản Nhân viên</t>
  </si>
  <si>
    <t>tài khoản Nhân viên được xóa/ẩn đúng sau khi xác nhận và không bị xóa khi chọn Hủy.</t>
  </si>
  <si>
    <t>1. Đăng nhập tại /admin/Login bằng tài khoản admin / password.
2. Mở danh sách tài khoản Nhân viên.
3. Chọn một tài khoản Nhân viên tạo riêng cho kiểm thử xóa.
4. Nhấn nút xóa.
5. Chọn Hủy và kiểm tra dữ liệu vẫn còn.
6. Nhấn xóa lần nữa và xác nhận.
7. Kiểm tra thông báo thành công.
8. Tìm lại và kiểm tra tài khoản Nhân viên đã biến mất hoặc chuyển sang mục đã xóa.
9. Đăng nhập thử tài khoản Nhân viên để kiểm tra quyền và trạng thái làm việc.</t>
  </si>
  <si>
    <t>Khôi phục tài khoản Nhân viên đã xóa</t>
  </si>
  <si>
    <t>tài khoản Nhân viên được khôi phục và xuất hiện lại trong danh sách đang hoạt động.</t>
  </si>
  <si>
    <t>1. Đăng nhập tại /admin/Login bằng tài khoản admin / password.
2. Mở mục tài khoản Nhân viên đã xóa.
3. Tìm tài khoản Nhân viên vừa xóa.
4. Nhấn “Khôi phục”.
5. Xác nhận thao tác nếu có.
6. Kiểm tra thông báo thành công.
7. Quay lại danh sách đang hoạt động và tìm tài khoản Nhân viên.
8. Kiểm tra dữ liệu và trạng thái được phục hồi đúng.</t>
  </si>
  <si>
    <t>Đặt lại mật khẩu Nhân viên</t>
  </si>
  <si>
    <t>Mật khẩu mới có hiệu lực; mật khẩu cũ bị từ chối.</t>
  </si>
  <si>
    <t>1. Đăng nhập tại /admin/Login bằng tài khoản admin / password.
2. Mở Quản lý nhân viên.
3. Chọn một Nhân viên kiểm thử.
4. Nhấn đặt lại mật khẩu.
5. Nhập mật khẩu mới đủ độ dài.
6. Xác nhận thao tác.
7. Đăng xuất Admin.
8. Thử đăng nhập Nhân viên bằng mật khẩu cũ và kiểm tra thất bại.
9. Đăng nhập bằng mật khẩu mới và kiểm tra thành công.</t>
  </si>
  <si>
    <t>Xem và cập nhật hồ sơ chi tiết Nhân viên</t>
  </si>
  <si>
    <t>Hồ sơ, ảnh đại diện và thông tin công việc được lưu đúng.</t>
  </si>
  <si>
    <t>1. Đăng nhập tại /admin/Login bằng tài khoản admin / password.
2. Mở Quản lý nhân viên và chọn xem chi tiết.
3. Kiểm tra thông tin tài khoản, hồ sơ và hoạt động gần đây.
4. Nhấn sửa hồ sơ.
5. Cập nhật họ tên, email, giới tính và thông tin công việc.
6. Tải ảnh đại diện hợp lệ.
7. Nhấn lưu.
8. Tải lại trang chi tiết.
9. Kiểm tra toàn bộ thông tin và ảnh mới.</t>
  </si>
  <si>
    <t>1. Đăng nhập tại /admin/Login bằng tài khoản admin / password.
2. Mở mục “Quản lý Đối tác”.
3. Chờ danh sách hồ sơ Nhà báo tải hoàn tất.
4. Kiểm tra các cột thông tin và nút thao tác của từng dòng.
5. Nhập từ khóa của một hồ sơ Nhà báo đang tồn tại.
6. Thực hiện tìm kiếm hoặc lọc.
7. Kiểm tra chỉ dữ liệu phù hợp xuất hiện.
8. Xóa bộ lọc và kiểm tra toàn bộ danh sách trở lại.</t>
  </si>
  <si>
    <t>1. Đăng nhập tại /admin/Login bằng tài khoản admin / password.
2. Mở mục “Quản lý Đối tác” và nhấn nút thêm mới.
3. Nhập họ tên, bút danh, tài khoản, liên hệ, chuyên môn, thẻ Nhà báo, tổ chức và tiểu sử.
4. Kiểm tra lại các trường bắt buộc.
5. Nhấn nút lưu/tạo.
6. Kiểm tra thông báo thành công.
7. Tìm hồ sơ Nhà báo vừa tạo trong danh sách.
8. Mở chi tiết hoặc màn hình sửa để đối chiếu dữ liệu đã lưu.
9. Đăng nhập thử Nhà báo và kiểm tra quyền đúng trạng thái.</t>
  </si>
  <si>
    <t>1. Đăng nhập tại /admin/Login bằng tài khoản admin / password.
2. Mở form thêm hồ sơ Nhà báo.
3. Để trống các trường có dấu *.
4. Nhấn nút lưu/tạo.
5. Kiểm tra thông báo yêu cầu nhập dữ liệu.
6. Kiểm tra vẫn ở form để có thể sửa.
7. Quay lại danh sách và kiểm tra không có hồ sơ Nhà báo rỗng mới.
8. Nhập dữ liệu hợp lệ để chắc chắn form vẫn hoạt động.</t>
  </si>
  <si>
    <t>1. Đăng nhập tại /admin/Login bằng tài khoản admin / password.
2. Mở mục “Quản lý Đối tác”.
3. Chọn một hồ sơ Nhà báo dùng cho kiểm thử và nhấn “Sửa”.
4. Ghi lại dữ liệu hiện tại.
5. Thay đổi họ tên, bút danh, tài khoản, liên hệ, chuyên môn, thẻ Nhà báo, tổ chức và tiểu sử.
6. Nhấn lưu thay đổi.
7. Kiểm tra thông báo thành công.
8. Tải lại trang sửa và kiểm tra dữ liệu mới.
9. Đăng nhập thử Nhà báo và kiểm tra quyền đúng trạng thái.</t>
  </si>
  <si>
    <t>1. Đăng nhập tại /admin/Login bằng tài khoản admin / password.
2. Mở danh sách hồ sơ Nhà báo.
3. Chọn một hồ sơ Nhà báo đang hoạt động.
4. Nhấn nút “Duyệt hoặc khóa”.
5. Xác nhận thao tác nếu hệ thống hỏi.
6. Kiểm tra trạng thái trên dòng dữ liệu thay đổi.
7. Tải lại trang và kiểm tra trạng thái vẫn được giữ.
8. Đăng nhập thử Nhà báo và kiểm tra quyền đúng trạng thái.</t>
  </si>
  <si>
    <t>1. Đăng nhập tại /admin/Login bằng tài khoản admin / password.
2. Mở danh sách hồ sơ Nhà báo.
3. Chọn một hồ sơ Nhà báo tạo riêng cho kiểm thử xóa.
4. Nhấn nút xóa.
5. Chọn Hủy và kiểm tra dữ liệu vẫn còn.
6. Nhấn xóa lần nữa và xác nhận.
7. Kiểm tra thông báo thành công.
8. Tìm lại và kiểm tra hồ sơ Nhà báo đã biến mất hoặc chuyển sang mục đã xóa.
9. Đăng nhập thử Nhà báo và kiểm tra quyền đúng trạng thái.</t>
  </si>
  <si>
    <t>1. Đăng nhập tại /admin/Login bằng tài khoản admin / password.
2. Mở mục hồ sơ Nhà báo đã xóa.
3. Tìm hồ sơ Nhà báo vừa xóa.
4. Nhấn “Khôi phục”.
5. Xác nhận thao tác nếu có.
6. Kiểm tra thông báo thành công.
7. Quay lại danh sách đang hoạt động và tìm hồ sơ Nhà báo.
8. Kiểm tra dữ liệu và trạng thái được phục hồi đúng.</t>
  </si>
  <si>
    <t>Xem hợp đồng và chi tiết Nhà báo</t>
  </si>
  <si>
    <t>Thông tin nghề nghiệp và hợp đồng PDF hiển thị đúng.</t>
  </si>
  <si>
    <t>1. Đăng nhập tại /admin/Login bằng tài khoản admin / password.
2. Mở Quản lý Đối tác.
3. Chọn một Nhà báo có hồ sơ đăng ký.
4. Nhấn xem chi tiết.
5. Kiểm tra thông tin cá nhân, chuyên môn, tổ chức và trạng thái.
6. Nhấn mở hợp đồng PDF.
7. Kiểm tra tệp mở được và đúng Nhà báo.
8. Quay lại rồi thử nút duyệt/khóa theo trạng thái hiện tại.</t>
  </si>
  <si>
    <t>1. Đăng nhập tại /admin/Login bằng tài khoản admin / password.
2. Mở mục “Video”.
3. Chờ danh sách video tải hoàn tất.
4. Kiểm tra các cột thông tin và nút thao tác của từng dòng.
5. Nhập từ khóa của một video đang tồn tại.
6. Thực hiện tìm kiếm hoặc lọc.
7. Kiểm tra chỉ dữ liệu phù hợp xuất hiện.
8. Xóa bộ lọc và kiểm tra toàn bộ danh sách trở lại.</t>
  </si>
  <si>
    <t>1. Đăng nhập tại /admin/Login bằng tài khoản admin / password.
2. Mở mục “Video” và nhấn nút thêm mới.
3. Nhập loại video, URL YouTube hoặc tệp MP4, tiêu đề, nguồn, mô tả và trạng thái.
4. Kiểm tra lại các trường bắt buộc.
5. Nhấn nút lưu/tạo.
6. Kiểm tra thông báo thành công.
7. Tìm video vừa tạo trong danh sách.
8. Mở chi tiết hoặc màn hình sửa để đối chiếu dữ liệu đã lưu.
9. Mở trang Video công khai và kiểm tra video đã xuất bản phát được.</t>
  </si>
  <si>
    <t>1. Đăng nhập tại /admin/Login bằng tài khoản admin / password.
2. Mở form thêm video.
3. Để trống các trường có dấu *.
4. Nhấn nút lưu/tạo.
5. Kiểm tra thông báo yêu cầu nhập dữ liệu.
6. Kiểm tra vẫn ở form để có thể sửa.
7. Quay lại danh sách và kiểm tra không có video rỗng mới.
8. Nhập dữ liệu hợp lệ để chắc chắn form vẫn hoạt động.</t>
  </si>
  <si>
    <t>1. Đăng nhập tại /admin/Login bằng tài khoản admin / password.
2. Mở mục “Video”.
3. Chọn một video dùng cho kiểm thử và nhấn “Sửa”.
4. Ghi lại dữ liệu hiện tại.
5. Thay đổi loại video, URL YouTube hoặc tệp MP4, tiêu đề, nguồn, mô tả và trạng thái.
6. Nhấn lưu thay đổi.
7. Kiểm tra thông báo thành công.
8. Tải lại trang sửa và kiểm tra dữ liệu mới.
9. Mở trang Video công khai và kiểm tra video đã xuất bản phát được.</t>
  </si>
  <si>
    <t>1. Đăng nhập tại /admin/Login bằng tài khoản admin / password.
2. Mở danh sách video.
3. Chọn một video tạo riêng cho kiểm thử xóa.
4. Nhấn nút xóa.
5. Chọn Hủy và kiểm tra dữ liệu vẫn còn.
6. Nhấn xóa lần nữa và xác nhận.
7. Kiểm tra thông báo thành công.
8. Tìm lại và kiểm tra video đã biến mất hoặc chuyển sang mục đã xóa.
9. Mở trang Video công khai và kiểm tra video đã xuất bản phát được.</t>
  </si>
  <si>
    <t>Khôi phục video đã xóa</t>
  </si>
  <si>
    <t>video được khôi phục và xuất hiện lại trong danh sách đang hoạt động.</t>
  </si>
  <si>
    <t>1. Đăng nhập tại /admin/Login bằng tài khoản admin / password.
2. Mở mục video đã xóa.
3. Tìm video vừa xóa.
4. Nhấn “Khôi phục”.
5. Xác nhận thao tác nếu có.
6. Kiểm tra thông báo thành công.
7. Quay lại danh sách đang hoạt động và tìm video.
8. Kiểm tra dữ liệu và trạng thái được phục hồi đúng.</t>
  </si>
  <si>
    <t>Thêm, bật/tắt, xóa và khôi phục nguồn RSS</t>
  </si>
  <si>
    <t>Nguồn RSS thay đổi đúng trạng thái và có thể khôi phục sau khi xóa.</t>
  </si>
  <si>
    <t>1. Đăng nhập tại /admin/Login bằng tài khoản admin / password.
2. Mở Nhập Bài Báo.
3. Nhập tên, URL feed, trang chủ, quốc gia, danh mục mặc định, số bài tối đa, loại và mô tả.
4. Nhấn thêm nguồn và kiểm tra nguồn xuất hiện.
5. Tắt nguồn rồi tải lại để kiểm tra trạng thái.
6. Bật lại nguồn.
7. Xóa nguồn và xác nhận.
8. Mở mục nguồn đã xóa.
9. Nhấn khôi phục và kiểm tra nguồn trở lại danh sách hoạt động.</t>
  </si>
  <si>
    <t>Cấu hình nhập RSS tự động</t>
  </si>
  <si>
    <t>Các thông số quét, giới hạn, thời gian nghỉ, đồng thời và ghi log được lưu đúng.</t>
  </si>
  <si>
    <t>1. Đăng nhập tại /admin/Login bằng tài khoản admin / password.
2. Mở Nhập Bài Báo và nhấn “Cài đặt tự động”.
3. Ghi lại cấu hình hiện tại.
4. Bật tự động nhập.
5. Chọn chu kỳ quét, số bài mỗi nguồn, thời gian nghỉ, số nguồn đồng thời và tổng bài mỗi lần.
6. Chọn các loại lịch sử cần ghi.
7. Nhấn lưu.
8. Mở lại hộp cài đặt.
9. Kiểm tra các giá trị mới vẫn được giữ.
10. Khôi phục cấu hình ban đầu sau kiểm thử nếu cần.</t>
  </si>
  <si>
    <t>Nhập tin từ một nguồn và tất cả nguồn RSS</t>
  </si>
  <si>
    <t>Bài mới được nhập đúng; bài trùng bị bỏ qua và thông báo kết quả chính xác.</t>
  </si>
  <si>
    <t>1. Đăng nhập tại /admin/Login bằng tài khoản admin / password.
2. Mở Nhập Bài Báo.
3. Chọn một nguồn đang hoạt động có bài mới.
4. Nhấn “Nhập tin” và chờ hoàn tất.
5. Kiểm tra số bài mới và bài bỏ qua.
6. Kiểm tra bài xuất hiện trong danh sách.
7. Nhấn “Nhập tất cả nguồn”.
8. Xác nhận và chờ toàn bộ quá trình.
9. Kiểm tra tổng kết và kiểm tra không có bài trùng lặp.</t>
  </si>
  <si>
    <t>Xem lịch sử nhập và sửa lỗi ký tự bài RSS</t>
  </si>
  <si>
    <t>Lịch sử lọc đúng; chức năng sửa lỗi ký tự cập nhật tiêu đề bị mã hóa sai.</t>
  </si>
  <si>
    <t>1. Đăng nhập tại /admin/Login bằng tài khoản admin / password.
2. Mở Nhập Bài Báo và nhấn “Lịch sử nhập”.
3. Nhập từ khóa, chọn từ ngày và đến ngày.
4. Nhấn lọc.
5. Kiểm tra các dòng lịch sử phù hợp.
6. Chuẩn bị một bài nhập có ký tự mã hóa sai trong môi trường kiểm thử.
7. Nhấn “Sửa lỗi ký tự”.
8. Xác nhận thao tác.
9. Tải lại danh sách và kiểm tra tiêu đề được sửa đúng tiếng Việt.</t>
  </si>
  <si>
    <t>Xóa, xóa nhiều và khôi phục bài đã nhập RSS</t>
  </si>
  <si>
    <t>Các bài được xóa mềm và khôi phục đúng, không ảnh hưởng bài khác.</t>
  </si>
  <si>
    <t>1. Đăng nhập tại /admin/Login bằng tài khoản admin / password.
2. Mở danh sách bài đã nhập.
3. Chọn một bài và nhấn xóa.
4. Xác nhận rồi kiểm tra bài biến mất.
5. Chọn nhiều bài kiểm thử khác.
6. Nhấn xóa đã chọn và xác nhận.
7. Mở mục đã xóa.
8. Khôi phục một bài.
9. Kiểm tra bài trở lại danh sách và mở được.</t>
  </si>
  <si>
    <t>Quản lý kênh bên ngoài và logo nguồn</t>
  </si>
  <si>
    <t>Danh sách lọc đúng; logo nguồn được lưu và hiển thị.</t>
  </si>
  <si>
    <t>1. Đăng nhập tại /admin/Login bằng tài khoản admin / password.
2. Mở Kênh Bên Ngoài.
3. Lọc theo nguồn, từ khóa và trang.
4. Kiểm tra kết quả.
5. Chọn một nguồn và mở chức năng cập nhật logo.
6. Nhập URL logo hợp lệ.
7. Nhấn lưu.
8. Tải lại trang.
9. Kiểm tra logo mới hiển thị trên các bài nguồn đó.</t>
  </si>
  <si>
    <t>Tạo, sửa, xóa lô lượt xem và đặt lượt xem cho một bài</t>
  </si>
  <si>
    <t>Lượt xem thay đổi theo yêu cầu; lịch sử lô cập nhật đúng.</t>
  </si>
  <si>
    <t>1. Đăng nhập tại /admin/Login bằng tài khoản admin / password.
2. Mở khu vực tạo lượt xem tại Kênh Bên Ngoài.
3. Tìm một bài bằng ô tìm kiếm.
4. Đặt trực tiếp số lượt xem cho bài và lưu.
5. Kiểm tra lượt xem mới.
6. Tạo một lô theo nguồn/danh mục/khoảng ngày với min–max hợp lệ.
7. Kiểm tra các bài thuộc phạm vi được cập nhật.
8. Sửa lô và kiểm tra thông số mới.
9. Xóa lô kiểm thử và kiểm tra lịch sử cập nhật.</t>
  </si>
  <si>
    <t>Quản lý tin nổi bật</t>
  </si>
  <si>
    <t>Ghim, bỏ ghim, ẩn và hiện lại bài nội bộ/bên ngoài phản ánh đúng ở trang chủ.</t>
  </si>
  <si>
    <t>1. Đăng nhập tại /admin/Login bằng tài khoản admin / password.
2. Mở Tin nổi bật.
3. Dùng ô tìm kiếm và bộ sắp xếp cho bài nội bộ.
4. Ghim một bài rồi mở trang chủ kiểm tra.
5. Bỏ ghim bài.
6. Chuyển sang danh sách bài ngoài và lọc theo nguồn.
7. Ẩn một bài khỏi nổi bật rồi kiểm tra trang chủ.
8. Hiện lại bài.
9. Kiểm tra trạng thái cuối đúng trong trang quản lý.</t>
  </si>
  <si>
    <t>Gửi thông báo theo từng loại đối tượng</t>
  </si>
  <si>
    <t>Thông báo đến đúng tất cả User, Nhà báo, một User hoặc một email theo lựa chọn.</t>
  </si>
  <si>
    <t>1. Đăng nhập tại /admin/Login bằng tài khoản admin / password.
2. Mở Quản lý Thông báo.
3. Nhập tiêu đề và nội dung kiểm thử.
4. Chọn gửi toàn bộ User và nhấn gửi.
5. Đăng nhập một User để kiểm tra nhận được.
6. Tạo thông báo khác gửi Nhà báo và kiểm tra Hộp thư Nhà báo.
7. Tạo thông báo gửi một User cụ thể.
8. Tạo thông báo gửi theo email.
9. Kiểm tra mỗi thông báo chỉ đến đúng đối tượng đã chọn.</t>
  </si>
  <si>
    <t>Đọc, lọc và xóa thông báo quản trị</t>
  </si>
  <si>
    <t>Bộ lọc, trạng thái đọc và các cách xóa hoạt động đúng.</t>
  </si>
  <si>
    <t>1. Đăng nhập tại /admin/Login bằng tài khoản admin / password.
2. Mở Quản lý Thông báo.
3. Lọc theo từ khóa, loại và khoảng ngày.
4. Kiểm tra kết quả.
5. Đánh dấu một thông báo đã đọc và kiểm tra số chưa đọc giảm.
6. Xóa một thông báo.
7. Chọn nhiều thông báo và xóa đã chọn.
8. Nhấn xóa tất cả đã đọc.
9. Kiểm tra danh sách còn lại đúng.</t>
  </si>
  <si>
    <t>Xem, lọc và xóa lịch sử hoạt động Nhân viên</t>
  </si>
  <si>
    <t>Nhật ký lọc đúng và Admin có thể xóa một dòng hoặc toàn bộ.</t>
  </si>
  <si>
    <t>1. Đăng nhập tại /admin/Login bằng tài khoản admin / password.
2. Mở Quản lý Lịch sử.
3. Nhập tên Nhân viên hoặc từ khóa hành động.
4. Chọn loại hành động và Nhân viên.
5. Nhấn lọc.
6. Kiểm tra kết quả có người thực hiện, nội dung và thời gian.
7. Xóa một dòng kiểm thử.
8. Kiểm tra dòng biến mất.
9. Dùng chức năng xóa toàn bộ trên dữ liệu kiểm thử và xác nhận danh sách cập nhật.</t>
  </si>
  <si>
    <t>Xem và tìm kiếm danh sách slot quảng cáo</t>
  </si>
  <si>
    <t>Danh sách slot quảng cáo hiển thị đúng và bộ lọc/tìm kiếm trả về dữ liệu phù hợp.</t>
  </si>
  <si>
    <t>1. Đăng nhập tại /admin/Login bằng tài khoản admin / password.
2. Mở mục “Slot QC”.
3. Chờ danh sách slot quảng cáo tải hoàn tất.
4. Kiểm tra các cột thông tin và nút thao tác của từng dòng.
5. Nhập từ khóa của một slot quảng cáo đang tồn tại.
6. Thực hiện tìm kiếm hoặc lọc.
7. Kiểm tra chỉ dữ liệu phù hợp xuất hiện.
8. Xóa bộ lọc và kiểm tra toàn bộ danh sách trở lại.</t>
  </si>
  <si>
    <t>Thêm slot quảng cáo với dữ liệu hợp lệ</t>
  </si>
  <si>
    <t>slot quảng cáo được tạo và hiển thị đúng trong danh sách.</t>
  </si>
  <si>
    <t>1. Đăng nhập tại /admin/Login bằng tài khoản admin / password.
2. Mở mục “Slot QC” và nhấn nút thêm mới.
3. Nhập tên slot, khóa vị trí, kích thước, giá mỗi ngày, giới hạn lượt mua, mô tả và trạng thái.
4. Kiểm tra lại các trường bắt buộc.
5. Nhấn nút lưu/tạo.
6. Kiểm tra thông báo thành công.
7. Tìm slot quảng cáo vừa tạo trong danh sách.
8. Mở chi tiết hoặc màn hình sửa để đối chiếu dữ liệu đã lưu.
9. Mở bảng giá quảng cáo và kiểm tra slot đang hoạt động hiển thị đúng.</t>
  </si>
  <si>
    <t>Không thêm slot quảng cáo khi thiếu dữ liệu bắt buộc</t>
  </si>
  <si>
    <t>Hệ thống báo rõ trường còn thiếu và không tạo slot quảng cáo rỗng.</t>
  </si>
  <si>
    <t>1. Đăng nhập tại /admin/Login bằng tài khoản admin / password.
2. Mở form thêm slot quảng cáo.
3. Để trống các trường có dấu *.
4. Nhấn nút lưu/tạo.
5. Kiểm tra thông báo yêu cầu nhập dữ liệu.
6. Kiểm tra vẫn ở form để có thể sửa.
7. Quay lại danh sách và kiểm tra không có slot quảng cáo rỗng mới.
8. Nhập dữ liệu hợp lệ để chắc chắn form vẫn hoạt động.</t>
  </si>
  <si>
    <t>Sửa thông tin slot quảng cáo</t>
  </si>
  <si>
    <t>Thông tin slot quảng cáo được cập nhật và giữ nguyên sau khi tải lại.</t>
  </si>
  <si>
    <t>1. Đăng nhập tại /admin/Login bằng tài khoản admin / password.
2. Mở mục “Slot QC”.
3. Chọn một slot quảng cáo dùng cho kiểm thử và nhấn “Sửa”.
4. Ghi lại dữ liệu hiện tại.
5. Thay đổi tên slot, khóa vị trí, kích thước, giá mỗi ngày, giới hạn lượt mua, mô tả và trạng thái.
6. Nhấn lưu thay đổi.
7. Kiểm tra thông báo thành công.
8. Tải lại trang sửa và kiểm tra dữ liệu mới.
9. Mở bảng giá quảng cáo và kiểm tra slot đang hoạt động hiển thị đúng.</t>
  </si>
  <si>
    <t>Xóa slot quảng cáo</t>
  </si>
  <si>
    <t>slot quảng cáo được xóa/ẩn đúng sau khi xác nhận và không bị xóa khi chọn Hủy.</t>
  </si>
  <si>
    <t>1. Đăng nhập tại /admin/Login bằng tài khoản admin / password.
2. Mở danh sách slot quảng cáo.
3. Chọn một slot quảng cáo tạo riêng cho kiểm thử xóa.
4. Nhấn nút xóa.
5. Chọn Hủy và kiểm tra dữ liệu vẫn còn.
6. Nhấn xóa lần nữa và xác nhận.
7. Kiểm tra thông báo thành công.
8. Tìm lại và kiểm tra slot quảng cáo đã biến mất hoặc chuyển sang mục đã xóa.
9. Mở bảng giá quảng cáo và kiểm tra slot đang hoạt động hiển thị đúng.</t>
  </si>
  <si>
    <t>Sắp xếp bố cục các slot quảng cáo</t>
  </si>
  <si>
    <t>Thứ tự slot được lưu và vị trí hiển thị đúng sau khi tải lại.</t>
  </si>
  <si>
    <t>1. Đăng nhập tại /admin/Login bằng tài khoản admin / password.
2. Mở Slot QC rồi chọn bố cục quảng cáo.
3. Ghi lại thứ tự hiện tại.
4. Kéo một slot sang vị trí khác hoặc thay đổi thứ tự theo giao diện.
5. Nhấn lưu bố cục.
6. Tải lại trang bố cục.
7. Kiểm tra thứ tự mới vẫn được giữ.
8. Mở trang chủ/bài viết có slot đó.
9. Kiểm tra quảng cáo nằm đúng vị trí tương ứng.</t>
  </si>
  <si>
    <t>Tạo quảng cáo ảnh, HTML và video</t>
  </si>
  <si>
    <t>Mỗi loại quảng cáo được lưu đúng nội dung và hiển thị ở slot sau khi bật.</t>
  </si>
  <si>
    <t>1. Đăng nhập tại /admin/Login bằng tài khoản admin / password.
2. Mở Quảng cáo và nhấn thêm mới.
3. Chọn loại Ảnh, nhập tiêu đề, link đích, vị trí, ngày chạy và tải ảnh; lưu lại.
4. Tạo quảng cáo thứ hai loại HTML, dán nội dung HTML hợp lệ và lưu.
5. Tạo quảng cáo thứ ba loại Video, nhập URL video hoặc tải tệp hợp lệ và lưu.
6. Kiểm tra cả ba dòng xuất hiện đúng loại.
7. Bật từng quảng cáo trong thời gian hoạt động.
8. Mở vị trí tương ứng trên website.
9. Kiểm tra ảnh, HTML và video hiển thị đúng.</t>
  </si>
  <si>
    <t>Sửa, bật/tắt, duyệt và từ chối quảng cáo</t>
  </si>
  <si>
    <t>Nội dung và trạng thái quảng cáo thay đổi đúng theo từng thao tác.</t>
  </si>
  <si>
    <t>1. Đăng nhập tại /admin/Login bằng tài khoản admin / password.
2. Mở danh sách Quảng cáo.
3. Chọn một quảng cáo và sửa tiêu đề/link/ngày chạy.
4. Lưu và kiểm tra dữ liệu mới.
5. Nhấn Tắt rồi mở website kiểm tra quảng cáo ẩn.
6. Bật lại và kiểm tra hiển thị.
7. Chọn quảng cáo chờ duyệt và nhấn Duyệt.
8. Chọn quảng cáo kiểm thử khác và nhấn Từ chối.
9. Kiểm tra trạng thái từng quảng cáo đúng.</t>
  </si>
  <si>
    <t>Xác nhận thanh toán, xóa, khôi phục và xóa vĩnh viễn quảng cáo</t>
  </si>
  <si>
    <t>Trạng thái thanh toán cập nhật; quảng cáo xóa mềm có thể khôi phục và xóa vĩnh viễn khi yêu cầu.</t>
  </si>
  <si>
    <t>1. Đăng nhập tại /admin/Login bằng tài khoản admin / password.
2. Mở danh sách Quảng cáo.
3. Chọn quảng cáo chưa thanh toán và nhấn xác nhận thanh toán.
4. Kiểm tra trạng thái đổi sang đã thanh toán.
5. Xóa một quảng cáo kiểm thử và xác nhận.
6. Mở mục đã xóa và khôi phục quảng cáo.
7. Kiểm tra quảng cáo trở lại.
8. Xóa lại, mở mục đã xóa và chọn xóa vĩnh viễn.
9. Xác nhận cảnh báo và kiểm tra không còn tìm thấy quảng cáo.</t>
  </si>
  <si>
    <t>Lọc và xem chi tiết đơn đăng ký quảng cáo</t>
  </si>
  <si>
    <t>Danh sách lọc đúng theo từ khóa, ngày, thanh toán và trạng thái; trang chi tiết đầy đủ.</t>
  </si>
  <si>
    <t>1. Đăng nhập tại /admin/Login bằng tài khoản admin / password.
2. Mở Đơn đăng ký QC.
3. Nhập mã đơn/tên/email vào ô tìm kiếm.
4. Chọn khoảng ngày, trạng thái thanh toán và trạng thái hồ sơ.
5. Nhấn lọc.
6. Kiểm tra kết quả phù hợp.
7. Mở một đơn.
8. Kiểm tra thông tin liên hệ, công ty, vị trí, số ngày, số tiền và tệp hồ sơ.
9. Kiểm tra lịch sử trạng thái và ghi chú nếu có.</t>
  </si>
  <si>
    <t>Duyệt, yêu cầu bổ sung và từ chối hồ sơ quảng cáo</t>
  </si>
  <si>
    <t>Mỗi quyết định chuyển trạng thái đúng và gửi thông báo cho User.</t>
  </si>
  <si>
    <t>1. Đăng nhập tại /admin/Login bằng tài khoản admin / password.
2. Mở chi tiết một đơn đang chờ duyệt.
3. Nhấn “Duyệt hồ sơ” và kiểm tra trạng thái.
4. Mở một đơn chờ duyệt khác.
5. Nhấn “Yêu cầu bổ sung”, nhập ghi chú và xác nhận.
6. Đăng nhập User sở hữu đơn và kiểm tra thông báo bổ sung.
7. Mở đơn thứ ba và nhấn “Từ chối”, nhập lý do.
8. Kiểm tra trạng thái bị từ chối.
9. Kiểm tra User nhận được thông báo đúng nội dung.</t>
  </si>
  <si>
    <t>Lưu thông tin doanh nghiệp, hợp đồng, thanh toán và hóa đơn của đơn quảng cáo</t>
  </si>
  <si>
    <t>Thông tin nghiệp vụ được lưu đầy đủ và vẫn đúng sau khi tải lại.</t>
  </si>
  <si>
    <t>1. Đăng nhập tại /admin/Login bằng tài khoản admin / password.
2. Mở chi tiết một đơn quảng cáo.
3. Nhập tên công ty, mã số thuế, người đại diện, website và địa chỉ.
4. Nhập số hợp đồng, ngày ký và thời hạn.
5. Chọn trạng thái thanh toán, nhập số tiền, ngày, phương thức.
6. Nhập số hóa đơn và ngày xuất hóa đơn.
7. Nhấn “Lưu thông tin”.
8. Tải lại trang chi tiết.
9. Đối chiếu tất cả trường vừa nhập.</t>
  </si>
  <si>
    <t>Xem và in hợp đồng, hóa đơn quảng cáo</t>
  </si>
  <si>
    <t>Trang hợp đồng/hóa đơn hiển thị đúng dữ liệu đơn và có thể in.</t>
  </si>
  <si>
    <t>1. Đăng nhập tại /admin/Login bằng tài khoản admin / password.
2. Mở chi tiết đơn đã có thông tin hợp đồng và thanh toán.
3. Nhấn xem hợp đồng.
4. Kiểm tra số hợp đồng, các bên, thời hạn, vị trí và số tiền.
5. Mở hộp thoại in của trình duyệt và kiểm tra bản xem trước.
6. Quay lại, nhấn xem hóa đơn.
7. Kiểm tra mã hóa đơn, thông tin công ty, số tiền và ngày.
8. Mở bản xem trước in và kiểm tra không thiếu nội dung chính.</t>
  </si>
  <si>
    <t>Yêu cầu xác nhận lại, xác nhận và hủy đơn quảng cáo</t>
  </si>
  <si>
    <t>Trạng thái đơn và thông báo đến User thay đổi đúng.</t>
  </si>
  <si>
    <t>1. Đăng nhập tại /admin/Login bằng tài khoản admin / password.
2. Mở chi tiết một đơn đã qua duyệt.
3. Nhấn yêu cầu xác nhận lại, nhập ghi chú và gửi.
4. Kiểm tra trạng thái/lịch sử và thông báo User.
5. Mở một đơn đủ điều kiện rồi nhấn xác nhận.
6. Kiểm tra trạng thái được xác nhận.
7. Mở một đơn kiểm thử khác và nhấn hủy.
8. Xác nhận thao tác.
9. Kiểm tra trạng thái bị hủy và slot được giải phóng nếu phù hợp.</t>
  </si>
  <si>
    <t>Cập nhật trạng thái và ghi chú nội bộ đơn quảng cáo</t>
  </si>
  <si>
    <t>Trạng thái và ghi chú được lưu, lịch sử có thêm dòng đúng thời gian.</t>
  </si>
  <si>
    <t>1. Đăng nhập tại /admin/Login bằng tài khoản admin / password.
2. Mở chi tiết đơn quảng cáo.
3. Nhập ghi chú nội bộ rõ ràng.
4. Nhấn lưu ghi chú.
5. Tải lại và kiểm tra ghi chú vẫn còn.
6. Chọn một trạng thái hợp lệ trong chức năng đổi trạng thái.
7. Nhấn lưu.
8. Kiểm tra trạng thái mới và lịch sử chuyển trạng thái.
9. Kiểm tra ghi chú nội bộ không hiển thị sai cho người ngoài nếu được quy định.</t>
  </si>
  <si>
    <t>Xuất bản quảng cáo từ đơn đăng ký</t>
  </si>
  <si>
    <t>Quảng cáo được tạo từ đơn, đúng loại nội dung, vị trí và trạng thái chạy.</t>
  </si>
  <si>
    <t>1. Đăng nhập tại /admin/Login bằng tài khoản admin / password.
2. Mở đơn quảng cáo đã duyệt và đủ thông tin.
3. Nhấn chức năng xuất bản quảng cáo.
4. Chọn loại ảnh, HTML hoặc video.
5. Nhập link đích và tải/dán nội dung tương ứng.
6. Kiểm tra vị trí lấy đúng từ đơn.
7. Nhấn xuất bản.
8. Mở danh sách Quảng cáo và kiểm tra quảng cáo mới.
9. Mở website tại vị trí tương ứng và kiểm tra nội dung hiển thị.</t>
  </si>
  <si>
    <t>Tải lên, tìm kiếm, xóa và khôi phục podcast</t>
  </si>
  <si>
    <t>Podcast được quản lý đúng ở danh sách hoạt động và đã xóa.</t>
  </si>
  <si>
    <t>1. Đăng nhập tại /admin/Login bằng tài khoản admin / password.
2. Mở Audio/Podcast.
3. Dùng ô tìm bài để chọn một bài liên kết.
4. Tải tệp audio hợp lệ, nhập tiêu đề và mô tả rồi lưu.
5. Tìm podcast bằng từ khóa và lọc trạng thái.
6. Phát thử podcast.
7. Xóa podcast và kiểm tra chuyển sang mục đã xóa.
8. Mở mục đã xóa và nhấn khôi phục.
9. Kiểm tra podcast trở lại và phát được.</t>
  </si>
  <si>
    <t>Tạo podcast tự động từ danh sách và từ bản nháp nội dung</t>
  </si>
  <si>
    <t>Cả hai cách tạo hoàn tất, có trạng thái tác vụ và tạo tệp audio hợp lệ.</t>
  </si>
  <si>
    <t>1. Đăng nhập tại /admin/Login bằng tài khoản admin / password.
2. Mở Audio/Podcast.
3. Tìm một bài có nội dung và nhấn tạo tự động.
4. Theo dõi trạng thái tác vụ đến khi hoàn tất.
5. Kiểm tra podcast gắn đúng bài.
6. Mở chức năng tạo từ nội dung nháp.
7. Nhập tiêu đề và đoạn nội dung ngắn như “Xin chào”.
8. Nhấn tạo và theo dõi trạng thái.
9. Kiểm tra podcast mới xuất hiện và phát được.
10. Kiểm tra thao tác không làm hết phiên đăng nhập.</t>
  </si>
  <si>
    <t>TỔNG QUAN BỘ TEST CASE</t>
  </si>
  <si>
    <t>Chỉ số</t>
  </si>
  <si>
    <t>Giá trị</t>
  </si>
  <si>
    <t>Số test case</t>
  </si>
  <si>
    <t>Tổng số test case</t>
  </si>
  <si>
    <t>Tự động</t>
  </si>
  <si>
    <t>Không đạt</t>
  </si>
  <si>
    <t>Bị chặn</t>
  </si>
  <si>
    <t>Chưa thực hiện</t>
  </si>
  <si>
    <t>Đã điền kết quả</t>
  </si>
  <si>
    <t>Hướng dẫn sử dụng</t>
  </si>
  <si>
    <t>1. Lọc theo cột Vai trò để kiểm thử lần lượt Guest, User, Journalist, Staff và Admin.
2. Thực hiện đúng từng bước trong cột Test Step Details.
3. Cột Actual Result đang để trống; sau khi chạy, chọn Đạt / Không đạt / Bị chặn / Chưa thực hiện.
4. Run type đã đặt là Thủ công và Tested By đã đặt là Yên.
5. Nếu phát hiện lỗi, có thể nhập “Không đạt - mô tả ngắn lỗi” trực tiếp vào Actual Result.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</si>
</sst>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name val="Carlito"/>
      <charset val="134"/>
    </font>
    <font>
      <b/>
      <sz val="11"/>
      <color rgb="FFFFFFFF"/>
      <name val="Calibri"/>
      <charset val="134"/>
    </font>
    <font>
      <b/>
      <sz val="11"/>
      <name val="Calibri"/>
      <charset val="134"/>
    </font>
    <font>
      <sz val="11"/>
      <name val="Calibri"/>
      <charset val="134"/>
    </font>
    <font>
      <b/>
      <sz val="11"/>
      <color rgb="FFFFFFFF"/>
      <name val="Times New Roman"/>
      <charset val="134"/>
    </font>
    <font>
      <b/>
      <sz val="11"/>
      <color rgb="FF000000"/>
      <name val="Times New Roman"/>
      <charset val="134"/>
    </font>
    <font>
      <sz val="11"/>
      <color rgb="FF000000"/>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rgb="FF17365D"/>
        <bgColor indexed="64"/>
      </patternFill>
    </fill>
    <fill>
      <patternFill patternType="solid">
        <fgColor rgb="FF1F4E78"/>
        <bgColor indexed="64"/>
      </patternFill>
    </fill>
    <fill>
      <patternFill patternType="solid">
        <fgColor rgb="FFD9EAF7"/>
        <bgColor indexed="64"/>
      </patternFill>
    </fill>
    <fill>
      <patternFill patternType="solid">
        <fgColor rgb="FFEAF2F8"/>
        <bgColor indexed="64"/>
      </patternFill>
    </fill>
    <fill>
      <patternFill patternType="solid">
        <fgColor rgb="FF70AD47"/>
        <bgColor indexed="64"/>
      </patternFill>
    </fill>
    <fill>
      <patternFill patternType="solid">
        <fgColor rgb="FFE2F0D9"/>
        <bgColor indexed="64"/>
      </patternFill>
    </fill>
    <fill>
      <patternFill patternType="solid">
        <fgColor rgb="FFDDEBF7"/>
        <bgColor indexed="64"/>
      </patternFill>
    </fill>
    <fill>
      <patternFill patternType="solid">
        <fgColor rgb="FFE7E6E6"/>
        <bgColor indexed="64"/>
      </patternFill>
    </fill>
    <fill>
      <patternFill patternType="solid">
        <fgColor rgb="FFFFF2CC"/>
        <bgColor indexed="64"/>
      </patternFill>
    </fill>
    <fill>
      <patternFill patternType="solid">
        <fgColor rgb="FFD9EAD3"/>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thin">
        <color rgb="FFD9E2F3"/>
      </bottom>
      <diagonal/>
    </border>
    <border>
      <left style="thin">
        <color rgb="FF17365D"/>
      </left>
      <right style="thin">
        <color rgb="FF17365D"/>
      </right>
      <top style="thin">
        <color rgb="FF17365D"/>
      </top>
      <bottom style="thin">
        <color rgb="FF17365D"/>
      </bottom>
      <diagonal/>
    </border>
    <border>
      <left style="thin">
        <color rgb="FF7F8C8D"/>
      </left>
      <right style="thin">
        <color rgb="FF7F8C8D"/>
      </right>
      <top style="thin">
        <color rgb="FF7F8C8D"/>
      </top>
      <bottom style="thin">
        <color rgb="FF7F8C8D"/>
      </bottom>
      <diagonal/>
    </border>
    <border>
      <left style="thin">
        <color rgb="FFB7C9D6"/>
      </left>
      <right style="thin">
        <color rgb="FFB7C9D6"/>
      </right>
      <top style="thin">
        <color rgb="FFB7C9D6"/>
      </top>
      <bottom style="thin">
        <color rgb="FFB7C9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3"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14" borderId="8" applyNumberFormat="0" applyAlignment="0" applyProtection="0">
      <alignment vertical="center"/>
    </xf>
    <xf numFmtId="0" fontId="17" fillId="15" borderId="9" applyNumberFormat="0" applyAlignment="0" applyProtection="0">
      <alignment vertical="center"/>
    </xf>
    <xf numFmtId="0" fontId="18" fillId="15" borderId="8" applyNumberFormat="0" applyAlignment="0" applyProtection="0">
      <alignment vertical="center"/>
    </xf>
    <xf numFmtId="0" fontId="19" fillId="16"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6" fillId="41" borderId="0" applyNumberFormat="0" applyBorder="0" applyAlignment="0" applyProtection="0">
      <alignment vertical="center"/>
    </xf>
    <xf numFmtId="0" fontId="26" fillId="42" borderId="0" applyNumberFormat="0" applyBorder="0" applyAlignment="0" applyProtection="0">
      <alignment vertical="center"/>
    </xf>
    <xf numFmtId="0" fontId="25" fillId="43" borderId="0" applyNumberFormat="0" applyBorder="0" applyAlignment="0" applyProtection="0">
      <alignment vertical="center"/>
    </xf>
  </cellStyleXfs>
  <cellXfs count="21">
    <xf numFmtId="0" fontId="0" fillId="0" borderId="0" xfId="0"/>
    <xf numFmtId="0" fontId="1" fillId="2" borderId="0" xfId="0" applyNumberFormat="1" applyFont="1" applyFill="1" applyBorder="1" applyAlignment="1">
      <alignment horizontal="center" vertical="center"/>
    </xf>
    <xf numFmtId="0" fontId="1" fillId="3" borderId="0" xfId="0" applyNumberFormat="1" applyFont="1" applyFill="1" applyBorder="1" applyAlignment="1">
      <alignment horizontal="center" vertical="center"/>
    </xf>
    <xf numFmtId="0" fontId="2" fillId="4" borderId="0" xfId="0" applyNumberFormat="1" applyFont="1" applyFill="1" applyBorder="1"/>
    <xf numFmtId="0" fontId="3" fillId="0" borderId="0" xfId="0" applyNumberFormat="1" applyFont="1" applyFill="1" applyBorder="1" applyAlignment="1">
      <alignment horizontal="right"/>
    </xf>
    <xf numFmtId="0" fontId="2" fillId="5" borderId="0" xfId="0" applyNumberFormat="1" applyFont="1" applyFill="1" applyBorder="1"/>
    <xf numFmtId="0" fontId="2" fillId="5" borderId="1" xfId="0" applyNumberFormat="1" applyFont="1" applyFill="1" applyBorder="1"/>
    <xf numFmtId="0" fontId="3" fillId="0" borderId="1" xfId="0" applyNumberFormat="1" applyFont="1" applyFill="1" applyBorder="1" applyAlignment="1">
      <alignment horizontal="right"/>
    </xf>
    <xf numFmtId="0" fontId="2" fillId="4" borderId="1" xfId="0" applyNumberFormat="1" applyFont="1" applyFill="1" applyBorder="1"/>
    <xf numFmtId="0" fontId="1" fillId="6" borderId="0" xfId="0" applyNumberFormat="1" applyFont="1" applyFill="1" applyBorder="1"/>
    <xf numFmtId="0" fontId="3" fillId="7" borderId="0" xfId="0" applyNumberFormat="1" applyFont="1" applyFill="1" applyBorder="1" applyAlignment="1">
      <alignment vertical="top" wrapText="1"/>
    </xf>
    <xf numFmtId="0" fontId="4" fillId="2" borderId="2" xfId="0" applyNumberFormat="1" applyFont="1" applyFill="1" applyBorder="1" applyAlignment="1">
      <alignment horizontal="center" vertical="center"/>
    </xf>
    <xf numFmtId="0" fontId="4" fillId="3" borderId="3" xfId="0" applyNumberFormat="1" applyFont="1" applyFill="1" applyBorder="1" applyAlignment="1">
      <alignment horizontal="center" vertical="center" wrapText="1"/>
    </xf>
    <xf numFmtId="0" fontId="5" fillId="8" borderId="4" xfId="0" applyNumberFormat="1" applyFont="1" applyFill="1" applyBorder="1" applyAlignment="1">
      <alignment horizontal="center" vertical="center" wrapText="1"/>
    </xf>
    <xf numFmtId="0" fontId="5" fillId="9" borderId="4" xfId="0" applyNumberFormat="1" applyFont="1" applyFill="1" applyBorder="1" applyAlignment="1">
      <alignment horizontal="center" vertical="center" wrapText="1"/>
    </xf>
    <xf numFmtId="0" fontId="6" fillId="0" borderId="4" xfId="0" applyNumberFormat="1" applyFont="1" applyFill="1" applyBorder="1" applyAlignment="1">
      <alignment vertical="top" wrapText="1"/>
    </xf>
    <xf numFmtId="0" fontId="6" fillId="10" borderId="4" xfId="0" applyNumberFormat="1" applyFont="1" applyFill="1" applyBorder="1" applyAlignment="1">
      <alignment horizontal="center" vertical="center" wrapText="1"/>
    </xf>
    <xf numFmtId="0" fontId="6" fillId="0" borderId="4" xfId="0" applyNumberFormat="1" applyFont="1" applyFill="1" applyBorder="1" applyAlignment="1">
      <alignment horizontal="center" vertical="center" wrapText="1"/>
    </xf>
    <xf numFmtId="0" fontId="5" fillId="10" borderId="4" xfId="0" applyNumberFormat="1" applyFont="1" applyFill="1" applyBorder="1" applyAlignment="1">
      <alignment horizontal="center" vertical="center" wrapText="1"/>
    </xf>
    <xf numFmtId="0" fontId="5" fillId="11" borderId="4" xfId="0" applyNumberFormat="1" applyFont="1" applyFill="1" applyBorder="1" applyAlignment="1">
      <alignment horizontal="center" vertical="center" wrapText="1"/>
    </xf>
    <xf numFmtId="0" fontId="6" fillId="12" borderId="4" xfId="0" applyNumberFormat="1"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WisdomTestCases" displayName="WisdomTestCases" ref="A2:I222" totalsRowShown="0">
  <tableColumns count="9">
    <tableColumn id="1" name="TCID"/>
    <tableColumn id="2" name="Vai trò"/>
    <tableColumn id="3" name="Testcase title"/>
    <tableColumn id="4" name="Expected Result"/>
    <tableColumn id="5" name="Actual Result"/>
    <tableColumn id="6" name="Run type (Manual/Automatic)"/>
    <tableColumn id="7" name="Tested By"/>
    <tableColumn id="8" name="Date Started"/>
    <tableColumn id="9" name="Test Step Detai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2"/>
  <sheetViews>
    <sheetView showGridLines="0" tabSelected="1" topLeftCell="A194" workbookViewId="0">
      <selection activeCell="B196" sqref="B196"/>
    </sheetView>
  </sheetViews>
  <sheetFormatPr defaultColWidth="9" defaultRowHeight="13.8"/>
  <cols>
    <col min="1" max="1" width="7" customWidth="1"/>
    <col min="2" max="2" width="15" customWidth="1"/>
    <col min="3" max="3" width="42" customWidth="1"/>
    <col min="4" max="4" width="48" customWidth="1"/>
    <col min="5" max="6" width="22" customWidth="1"/>
    <col min="7" max="7" width="13" customWidth="1"/>
    <col min="8" max="8" width="15" customWidth="1"/>
    <col min="9" max="9" width="82" customWidth="1"/>
  </cols>
  <sheetData>
    <row r="1" ht="30" customHeight="1" spans="1:9">
      <c r="A1" s="11" t="s">
        <v>0</v>
      </c>
      <c r="B1" s="11"/>
      <c r="C1" s="11"/>
      <c r="D1" s="11"/>
      <c r="E1" s="11"/>
      <c r="F1" s="11"/>
      <c r="G1" s="11"/>
      <c r="H1" s="11"/>
      <c r="I1" s="11"/>
    </row>
    <row r="2" ht="42" customHeight="1" spans="1:9">
      <c r="A2" s="12" t="s">
        <v>1</v>
      </c>
      <c r="B2" s="12" t="s">
        <v>2</v>
      </c>
      <c r="C2" s="12" t="s">
        <v>3</v>
      </c>
      <c r="D2" s="12" t="s">
        <v>4</v>
      </c>
      <c r="E2" s="12" t="s">
        <v>5</v>
      </c>
      <c r="F2" s="12" t="s">
        <v>6</v>
      </c>
      <c r="G2" s="12" t="s">
        <v>7</v>
      </c>
      <c r="H2" s="12" t="s">
        <v>8</v>
      </c>
      <c r="I2" s="12" t="s">
        <v>9</v>
      </c>
    </row>
    <row r="3" ht="126" customHeight="1" spans="1:9">
      <c r="A3" s="13">
        <v>1</v>
      </c>
      <c r="B3" s="14" t="s">
        <v>10</v>
      </c>
      <c r="C3" s="15" t="s">
        <v>11</v>
      </c>
      <c r="D3" s="15" t="s">
        <v>12</v>
      </c>
      <c r="E3" s="16" t="s">
        <v>13</v>
      </c>
      <c r="F3" s="17" t="s">
        <v>14</v>
      </c>
      <c r="G3" s="17" t="s">
        <v>15</v>
      </c>
      <c r="H3" s="17" t="s">
        <v>16</v>
      </c>
      <c r="I3" s="15" t="s">
        <v>17</v>
      </c>
    </row>
    <row r="4" ht="126" customHeight="1" spans="1:9">
      <c r="A4" s="13">
        <v>2</v>
      </c>
      <c r="B4" s="14" t="s">
        <v>10</v>
      </c>
      <c r="C4" s="15" t="s">
        <v>18</v>
      </c>
      <c r="D4" s="15" t="s">
        <v>19</v>
      </c>
      <c r="E4" s="16" t="s">
        <v>13</v>
      </c>
      <c r="F4" s="17" t="s">
        <v>14</v>
      </c>
      <c r="G4" s="17" t="s">
        <v>15</v>
      </c>
      <c r="H4" s="17" t="s">
        <v>16</v>
      </c>
      <c r="I4" s="15" t="s">
        <v>20</v>
      </c>
    </row>
    <row r="5" ht="126" customHeight="1" spans="1:9">
      <c r="A5" s="13">
        <v>3</v>
      </c>
      <c r="B5" s="14" t="s">
        <v>10</v>
      </c>
      <c r="C5" s="15" t="s">
        <v>21</v>
      </c>
      <c r="D5" s="15" t="s">
        <v>22</v>
      </c>
      <c r="E5" s="16" t="s">
        <v>13</v>
      </c>
      <c r="F5" s="17" t="s">
        <v>14</v>
      </c>
      <c r="G5" s="17" t="s">
        <v>15</v>
      </c>
      <c r="H5" s="17" t="s">
        <v>16</v>
      </c>
      <c r="I5" s="15" t="s">
        <v>23</v>
      </c>
    </row>
    <row r="6" ht="126" customHeight="1" spans="1:9">
      <c r="A6" s="13">
        <v>4</v>
      </c>
      <c r="B6" s="14" t="s">
        <v>10</v>
      </c>
      <c r="C6" s="15" t="s">
        <v>24</v>
      </c>
      <c r="D6" s="15" t="s">
        <v>25</v>
      </c>
      <c r="E6" s="16" t="s">
        <v>13</v>
      </c>
      <c r="F6" s="17" t="s">
        <v>14</v>
      </c>
      <c r="G6" s="17" t="s">
        <v>15</v>
      </c>
      <c r="H6" s="17" t="s">
        <v>16</v>
      </c>
      <c r="I6" s="15" t="s">
        <v>26</v>
      </c>
    </row>
    <row r="7" ht="126" customHeight="1" spans="1:9">
      <c r="A7" s="13">
        <v>5</v>
      </c>
      <c r="B7" s="14" t="s">
        <v>10</v>
      </c>
      <c r="C7" s="15" t="s">
        <v>27</v>
      </c>
      <c r="D7" s="15" t="s">
        <v>28</v>
      </c>
      <c r="E7" s="16" t="s">
        <v>13</v>
      </c>
      <c r="F7" s="17" t="s">
        <v>14</v>
      </c>
      <c r="G7" s="17" t="s">
        <v>15</v>
      </c>
      <c r="H7" s="17" t="s">
        <v>16</v>
      </c>
      <c r="I7" s="15" t="s">
        <v>29</v>
      </c>
    </row>
    <row r="8" ht="126" customHeight="1" spans="1:9">
      <c r="A8" s="13">
        <v>6</v>
      </c>
      <c r="B8" s="14" t="s">
        <v>10</v>
      </c>
      <c r="C8" s="15" t="s">
        <v>30</v>
      </c>
      <c r="D8" s="15" t="s">
        <v>31</v>
      </c>
      <c r="E8" s="16" t="s">
        <v>13</v>
      </c>
      <c r="F8" s="17" t="s">
        <v>14</v>
      </c>
      <c r="G8" s="17" t="s">
        <v>15</v>
      </c>
      <c r="H8" s="17" t="s">
        <v>16</v>
      </c>
      <c r="I8" s="15" t="s">
        <v>32</v>
      </c>
    </row>
    <row r="9" ht="126" customHeight="1" spans="1:9">
      <c r="A9" s="13">
        <v>7</v>
      </c>
      <c r="B9" s="14" t="s">
        <v>10</v>
      </c>
      <c r="C9" s="15" t="s">
        <v>33</v>
      </c>
      <c r="D9" s="15" t="s">
        <v>34</v>
      </c>
      <c r="E9" s="16" t="s">
        <v>13</v>
      </c>
      <c r="F9" s="17" t="s">
        <v>14</v>
      </c>
      <c r="G9" s="17" t="s">
        <v>15</v>
      </c>
      <c r="H9" s="17" t="s">
        <v>16</v>
      </c>
      <c r="I9" s="15" t="s">
        <v>35</v>
      </c>
    </row>
    <row r="10" ht="126" customHeight="1" spans="1:9">
      <c r="A10" s="13">
        <v>8</v>
      </c>
      <c r="B10" s="14" t="s">
        <v>10</v>
      </c>
      <c r="C10" s="15" t="s">
        <v>36</v>
      </c>
      <c r="D10" s="15" t="s">
        <v>37</v>
      </c>
      <c r="E10" s="16" t="s">
        <v>13</v>
      </c>
      <c r="F10" s="17" t="s">
        <v>14</v>
      </c>
      <c r="G10" s="17" t="s">
        <v>15</v>
      </c>
      <c r="H10" s="17" t="s">
        <v>16</v>
      </c>
      <c r="I10" s="15" t="s">
        <v>38</v>
      </c>
    </row>
    <row r="11" ht="126" customHeight="1" spans="1:9">
      <c r="A11" s="13">
        <v>9</v>
      </c>
      <c r="B11" s="14" t="s">
        <v>10</v>
      </c>
      <c r="C11" s="15" t="s">
        <v>39</v>
      </c>
      <c r="D11" s="15" t="s">
        <v>40</v>
      </c>
      <c r="E11" s="16" t="s">
        <v>13</v>
      </c>
      <c r="F11" s="17" t="s">
        <v>14</v>
      </c>
      <c r="G11" s="17" t="s">
        <v>15</v>
      </c>
      <c r="H11" s="17" t="s">
        <v>16</v>
      </c>
      <c r="I11" s="15" t="s">
        <v>41</v>
      </c>
    </row>
    <row r="12" ht="126" customHeight="1" spans="1:9">
      <c r="A12" s="13">
        <v>10</v>
      </c>
      <c r="B12" s="14" t="s">
        <v>10</v>
      </c>
      <c r="C12" s="15" t="s">
        <v>42</v>
      </c>
      <c r="D12" s="15" t="s">
        <v>43</v>
      </c>
      <c r="E12" s="16" t="s">
        <v>13</v>
      </c>
      <c r="F12" s="17" t="s">
        <v>14</v>
      </c>
      <c r="G12" s="17" t="s">
        <v>15</v>
      </c>
      <c r="H12" s="17" t="s">
        <v>16</v>
      </c>
      <c r="I12" s="15" t="s">
        <v>44</v>
      </c>
    </row>
    <row r="13" ht="126" customHeight="1" spans="1:9">
      <c r="A13" s="13">
        <v>11</v>
      </c>
      <c r="B13" s="14" t="s">
        <v>10</v>
      </c>
      <c r="C13" s="15" t="s">
        <v>45</v>
      </c>
      <c r="D13" s="15" t="s">
        <v>46</v>
      </c>
      <c r="E13" s="16" t="s">
        <v>13</v>
      </c>
      <c r="F13" s="17" t="s">
        <v>14</v>
      </c>
      <c r="G13" s="17" t="s">
        <v>15</v>
      </c>
      <c r="H13" s="17" t="s">
        <v>16</v>
      </c>
      <c r="I13" s="15" t="s">
        <v>47</v>
      </c>
    </row>
    <row r="14" ht="126" customHeight="1" spans="1:9">
      <c r="A14" s="13">
        <v>12</v>
      </c>
      <c r="B14" s="14" t="s">
        <v>10</v>
      </c>
      <c r="C14" s="15" t="s">
        <v>48</v>
      </c>
      <c r="D14" s="15" t="s">
        <v>49</v>
      </c>
      <c r="E14" s="16" t="s">
        <v>13</v>
      </c>
      <c r="F14" s="17" t="s">
        <v>14</v>
      </c>
      <c r="G14" s="17" t="s">
        <v>15</v>
      </c>
      <c r="H14" s="17" t="s">
        <v>16</v>
      </c>
      <c r="I14" s="15" t="s">
        <v>50</v>
      </c>
    </row>
    <row r="15" ht="126" customHeight="1" spans="1:9">
      <c r="A15" s="13">
        <v>13</v>
      </c>
      <c r="B15" s="14" t="s">
        <v>10</v>
      </c>
      <c r="C15" s="15" t="s">
        <v>51</v>
      </c>
      <c r="D15" s="15" t="s">
        <v>52</v>
      </c>
      <c r="E15" s="16" t="s">
        <v>13</v>
      </c>
      <c r="F15" s="17" t="s">
        <v>14</v>
      </c>
      <c r="G15" s="17" t="s">
        <v>15</v>
      </c>
      <c r="H15" s="17" t="s">
        <v>16</v>
      </c>
      <c r="I15" s="15" t="s">
        <v>53</v>
      </c>
    </row>
    <row r="16" ht="126" customHeight="1" spans="1:9">
      <c r="A16" s="13">
        <v>14</v>
      </c>
      <c r="B16" s="14" t="s">
        <v>10</v>
      </c>
      <c r="C16" s="15" t="s">
        <v>54</v>
      </c>
      <c r="D16" s="15" t="s">
        <v>55</v>
      </c>
      <c r="E16" s="16" t="s">
        <v>13</v>
      </c>
      <c r="F16" s="17" t="s">
        <v>14</v>
      </c>
      <c r="G16" s="17" t="s">
        <v>15</v>
      </c>
      <c r="H16" s="17" t="s">
        <v>16</v>
      </c>
      <c r="I16" s="15" t="s">
        <v>56</v>
      </c>
    </row>
    <row r="17" ht="126" customHeight="1" spans="1:9">
      <c r="A17" s="13">
        <v>15</v>
      </c>
      <c r="B17" s="14" t="s">
        <v>10</v>
      </c>
      <c r="C17" s="15" t="s">
        <v>57</v>
      </c>
      <c r="D17" s="15" t="s">
        <v>58</v>
      </c>
      <c r="E17" s="16" t="s">
        <v>13</v>
      </c>
      <c r="F17" s="17" t="s">
        <v>14</v>
      </c>
      <c r="G17" s="17" t="s">
        <v>15</v>
      </c>
      <c r="H17" s="17" t="s">
        <v>16</v>
      </c>
      <c r="I17" s="15" t="s">
        <v>59</v>
      </c>
    </row>
    <row r="18" ht="126" customHeight="1" spans="1:9">
      <c r="A18" s="13">
        <v>16</v>
      </c>
      <c r="B18" s="14" t="s">
        <v>10</v>
      </c>
      <c r="C18" s="15" t="s">
        <v>60</v>
      </c>
      <c r="D18" s="15" t="s">
        <v>61</v>
      </c>
      <c r="E18" s="16" t="s">
        <v>13</v>
      </c>
      <c r="F18" s="17" t="s">
        <v>14</v>
      </c>
      <c r="G18" s="17" t="s">
        <v>15</v>
      </c>
      <c r="H18" s="17" t="s">
        <v>16</v>
      </c>
      <c r="I18" s="15" t="s">
        <v>62</v>
      </c>
    </row>
    <row r="19" ht="126" customHeight="1" spans="1:9">
      <c r="A19" s="13">
        <v>17</v>
      </c>
      <c r="B19" s="14" t="s">
        <v>10</v>
      </c>
      <c r="C19" s="15" t="s">
        <v>63</v>
      </c>
      <c r="D19" s="15" t="s">
        <v>64</v>
      </c>
      <c r="E19" s="16" t="s">
        <v>13</v>
      </c>
      <c r="F19" s="17" t="s">
        <v>14</v>
      </c>
      <c r="G19" s="17" t="s">
        <v>15</v>
      </c>
      <c r="H19" s="17" t="s">
        <v>16</v>
      </c>
      <c r="I19" s="15" t="s">
        <v>65</v>
      </c>
    </row>
    <row r="20" ht="126" customHeight="1" spans="1:9">
      <c r="A20" s="13">
        <v>18</v>
      </c>
      <c r="B20" s="14" t="s">
        <v>10</v>
      </c>
      <c r="C20" s="15" t="s">
        <v>66</v>
      </c>
      <c r="D20" s="15" t="s">
        <v>67</v>
      </c>
      <c r="E20" s="16" t="s">
        <v>13</v>
      </c>
      <c r="F20" s="17" t="s">
        <v>14</v>
      </c>
      <c r="G20" s="17" t="s">
        <v>15</v>
      </c>
      <c r="H20" s="17" t="s">
        <v>16</v>
      </c>
      <c r="I20" s="15" t="s">
        <v>68</v>
      </c>
    </row>
    <row r="21" ht="126" customHeight="1" spans="1:9">
      <c r="A21" s="13">
        <v>19</v>
      </c>
      <c r="B21" s="14" t="s">
        <v>10</v>
      </c>
      <c r="C21" s="15" t="s">
        <v>69</v>
      </c>
      <c r="D21" s="15" t="s">
        <v>70</v>
      </c>
      <c r="E21" s="16" t="s">
        <v>13</v>
      </c>
      <c r="F21" s="17" t="s">
        <v>14</v>
      </c>
      <c r="G21" s="17" t="s">
        <v>15</v>
      </c>
      <c r="H21" s="17" t="s">
        <v>16</v>
      </c>
      <c r="I21" s="15" t="s">
        <v>71</v>
      </c>
    </row>
    <row r="22" ht="126" customHeight="1" spans="1:9">
      <c r="A22" s="13">
        <v>20</v>
      </c>
      <c r="B22" s="14" t="s">
        <v>10</v>
      </c>
      <c r="C22" s="15" t="s">
        <v>72</v>
      </c>
      <c r="D22" s="15" t="s">
        <v>73</v>
      </c>
      <c r="E22" s="16" t="s">
        <v>13</v>
      </c>
      <c r="F22" s="17" t="s">
        <v>14</v>
      </c>
      <c r="G22" s="17" t="s">
        <v>15</v>
      </c>
      <c r="H22" s="17" t="s">
        <v>16</v>
      </c>
      <c r="I22" s="15" t="s">
        <v>74</v>
      </c>
    </row>
    <row r="23" ht="126" customHeight="1" spans="1:9">
      <c r="A23" s="13">
        <v>21</v>
      </c>
      <c r="B23" s="14" t="s">
        <v>10</v>
      </c>
      <c r="C23" s="15" t="s">
        <v>75</v>
      </c>
      <c r="D23" s="15" t="s">
        <v>76</v>
      </c>
      <c r="E23" s="16" t="s">
        <v>13</v>
      </c>
      <c r="F23" s="17" t="s">
        <v>14</v>
      </c>
      <c r="G23" s="17" t="s">
        <v>15</v>
      </c>
      <c r="H23" s="17" t="s">
        <v>16</v>
      </c>
      <c r="I23" s="15" t="s">
        <v>77</v>
      </c>
    </row>
    <row r="24" ht="126" customHeight="1" spans="1:9">
      <c r="A24" s="13">
        <v>22</v>
      </c>
      <c r="B24" s="14" t="s">
        <v>10</v>
      </c>
      <c r="C24" s="15" t="s">
        <v>78</v>
      </c>
      <c r="D24" s="15" t="s">
        <v>79</v>
      </c>
      <c r="E24" s="16" t="s">
        <v>13</v>
      </c>
      <c r="F24" s="17" t="s">
        <v>14</v>
      </c>
      <c r="G24" s="17" t="s">
        <v>15</v>
      </c>
      <c r="H24" s="17" t="s">
        <v>16</v>
      </c>
      <c r="I24" s="15" t="s">
        <v>80</v>
      </c>
    </row>
    <row r="25" ht="126" customHeight="1" spans="1:9">
      <c r="A25" s="13">
        <v>23</v>
      </c>
      <c r="B25" s="14" t="s">
        <v>10</v>
      </c>
      <c r="C25" s="15" t="s">
        <v>81</v>
      </c>
      <c r="D25" s="15" t="s">
        <v>82</v>
      </c>
      <c r="E25" s="16" t="s">
        <v>13</v>
      </c>
      <c r="F25" s="17" t="s">
        <v>14</v>
      </c>
      <c r="G25" s="17" t="s">
        <v>15</v>
      </c>
      <c r="H25" s="17" t="s">
        <v>16</v>
      </c>
      <c r="I25" s="15" t="s">
        <v>83</v>
      </c>
    </row>
    <row r="26" ht="126" customHeight="1" spans="1:9">
      <c r="A26" s="13">
        <v>24</v>
      </c>
      <c r="B26" s="14" t="s">
        <v>10</v>
      </c>
      <c r="C26" s="15" t="s">
        <v>84</v>
      </c>
      <c r="D26" s="15" t="s">
        <v>85</v>
      </c>
      <c r="E26" s="16" t="s">
        <v>13</v>
      </c>
      <c r="F26" s="17" t="s">
        <v>14</v>
      </c>
      <c r="G26" s="17" t="s">
        <v>15</v>
      </c>
      <c r="H26" s="17" t="s">
        <v>16</v>
      </c>
      <c r="I26" s="15" t="s">
        <v>86</v>
      </c>
    </row>
    <row r="27" ht="126" customHeight="1" spans="1:9">
      <c r="A27" s="13">
        <v>25</v>
      </c>
      <c r="B27" s="14" t="s">
        <v>10</v>
      </c>
      <c r="C27" s="15" t="s">
        <v>87</v>
      </c>
      <c r="D27" s="15" t="s">
        <v>88</v>
      </c>
      <c r="E27" s="16" t="s">
        <v>13</v>
      </c>
      <c r="F27" s="17" t="s">
        <v>14</v>
      </c>
      <c r="G27" s="17" t="s">
        <v>15</v>
      </c>
      <c r="H27" s="17" t="s">
        <v>16</v>
      </c>
      <c r="I27" s="15" t="s">
        <v>89</v>
      </c>
    </row>
    <row r="28" ht="126" customHeight="1" spans="1:9">
      <c r="A28" s="13">
        <v>26</v>
      </c>
      <c r="B28" s="13" t="s">
        <v>90</v>
      </c>
      <c r="C28" s="15" t="s">
        <v>91</v>
      </c>
      <c r="D28" s="15" t="s">
        <v>92</v>
      </c>
      <c r="E28" s="16" t="s">
        <v>13</v>
      </c>
      <c r="F28" s="17" t="s">
        <v>14</v>
      </c>
      <c r="G28" s="17" t="s">
        <v>15</v>
      </c>
      <c r="H28" s="17" t="s">
        <v>16</v>
      </c>
      <c r="I28" s="15" t="s">
        <v>93</v>
      </c>
    </row>
    <row r="29" ht="126" customHeight="1" spans="1:9">
      <c r="A29" s="13">
        <v>27</v>
      </c>
      <c r="B29" s="13" t="s">
        <v>90</v>
      </c>
      <c r="C29" s="15" t="s">
        <v>94</v>
      </c>
      <c r="D29" s="15" t="s">
        <v>95</v>
      </c>
      <c r="E29" s="16" t="s">
        <v>13</v>
      </c>
      <c r="F29" s="17" t="s">
        <v>14</v>
      </c>
      <c r="G29" s="17" t="s">
        <v>15</v>
      </c>
      <c r="H29" s="17" t="s">
        <v>16</v>
      </c>
      <c r="I29" s="15" t="s">
        <v>96</v>
      </c>
    </row>
    <row r="30" ht="126" customHeight="1" spans="1:9">
      <c r="A30" s="13">
        <v>28</v>
      </c>
      <c r="B30" s="13" t="s">
        <v>90</v>
      </c>
      <c r="C30" s="15" t="s">
        <v>97</v>
      </c>
      <c r="D30" s="15" t="s">
        <v>98</v>
      </c>
      <c r="E30" s="16" t="s">
        <v>13</v>
      </c>
      <c r="F30" s="17" t="s">
        <v>14</v>
      </c>
      <c r="G30" s="17" t="s">
        <v>15</v>
      </c>
      <c r="H30" s="17" t="s">
        <v>16</v>
      </c>
      <c r="I30" s="15" t="s">
        <v>99</v>
      </c>
    </row>
    <row r="31" ht="126" customHeight="1" spans="1:9">
      <c r="A31" s="13">
        <v>29</v>
      </c>
      <c r="B31" s="13" t="s">
        <v>90</v>
      </c>
      <c r="C31" s="15" t="s">
        <v>100</v>
      </c>
      <c r="D31" s="15" t="s">
        <v>101</v>
      </c>
      <c r="E31" s="16" t="s">
        <v>13</v>
      </c>
      <c r="F31" s="17" t="s">
        <v>14</v>
      </c>
      <c r="G31" s="17" t="s">
        <v>15</v>
      </c>
      <c r="H31" s="17" t="s">
        <v>16</v>
      </c>
      <c r="I31" s="15" t="s">
        <v>102</v>
      </c>
    </row>
    <row r="32" ht="126" customHeight="1" spans="1:9">
      <c r="A32" s="13">
        <v>30</v>
      </c>
      <c r="B32" s="13" t="s">
        <v>90</v>
      </c>
      <c r="C32" s="15" t="s">
        <v>103</v>
      </c>
      <c r="D32" s="15" t="s">
        <v>104</v>
      </c>
      <c r="E32" s="16" t="s">
        <v>13</v>
      </c>
      <c r="F32" s="17" t="s">
        <v>14</v>
      </c>
      <c r="G32" s="17" t="s">
        <v>15</v>
      </c>
      <c r="H32" s="17" t="s">
        <v>16</v>
      </c>
      <c r="I32" s="15" t="s">
        <v>105</v>
      </c>
    </row>
    <row r="33" ht="126" customHeight="1" spans="1:9">
      <c r="A33" s="13">
        <v>31</v>
      </c>
      <c r="B33" s="13" t="s">
        <v>90</v>
      </c>
      <c r="C33" s="15" t="s">
        <v>106</v>
      </c>
      <c r="D33" s="15" t="s">
        <v>107</v>
      </c>
      <c r="E33" s="16" t="s">
        <v>13</v>
      </c>
      <c r="F33" s="17" t="s">
        <v>14</v>
      </c>
      <c r="G33" s="17" t="s">
        <v>15</v>
      </c>
      <c r="H33" s="17" t="s">
        <v>16</v>
      </c>
      <c r="I33" s="15" t="s">
        <v>108</v>
      </c>
    </row>
    <row r="34" ht="126" customHeight="1" spans="1:9">
      <c r="A34" s="13">
        <v>32</v>
      </c>
      <c r="B34" s="13" t="s">
        <v>90</v>
      </c>
      <c r="C34" s="15" t="s">
        <v>109</v>
      </c>
      <c r="D34" s="15" t="s">
        <v>110</v>
      </c>
      <c r="E34" s="16" t="s">
        <v>13</v>
      </c>
      <c r="F34" s="17" t="s">
        <v>14</v>
      </c>
      <c r="G34" s="17" t="s">
        <v>15</v>
      </c>
      <c r="H34" s="17" t="s">
        <v>16</v>
      </c>
      <c r="I34" s="15" t="s">
        <v>111</v>
      </c>
    </row>
    <row r="35" ht="126" customHeight="1" spans="1:9">
      <c r="A35" s="13">
        <v>33</v>
      </c>
      <c r="B35" s="13" t="s">
        <v>90</v>
      </c>
      <c r="C35" s="15" t="s">
        <v>112</v>
      </c>
      <c r="D35" s="15" t="s">
        <v>113</v>
      </c>
      <c r="E35" s="16" t="s">
        <v>13</v>
      </c>
      <c r="F35" s="17" t="s">
        <v>14</v>
      </c>
      <c r="G35" s="17" t="s">
        <v>15</v>
      </c>
      <c r="H35" s="17" t="s">
        <v>16</v>
      </c>
      <c r="I35" s="15" t="s">
        <v>114</v>
      </c>
    </row>
    <row r="36" ht="126" customHeight="1" spans="1:9">
      <c r="A36" s="13">
        <v>34</v>
      </c>
      <c r="B36" s="13" t="s">
        <v>90</v>
      </c>
      <c r="C36" s="15" t="s">
        <v>115</v>
      </c>
      <c r="D36" s="15" t="s">
        <v>116</v>
      </c>
      <c r="E36" s="16" t="s">
        <v>13</v>
      </c>
      <c r="F36" s="17" t="s">
        <v>14</v>
      </c>
      <c r="G36" s="17" t="s">
        <v>15</v>
      </c>
      <c r="H36" s="17" t="s">
        <v>16</v>
      </c>
      <c r="I36" s="15" t="s">
        <v>117</v>
      </c>
    </row>
    <row r="37" ht="126" customHeight="1" spans="1:9">
      <c r="A37" s="13">
        <v>35</v>
      </c>
      <c r="B37" s="13" t="s">
        <v>90</v>
      </c>
      <c r="C37" s="15" t="s">
        <v>118</v>
      </c>
      <c r="D37" s="15" t="s">
        <v>119</v>
      </c>
      <c r="E37" s="16" t="s">
        <v>13</v>
      </c>
      <c r="F37" s="17" t="s">
        <v>14</v>
      </c>
      <c r="G37" s="17" t="s">
        <v>15</v>
      </c>
      <c r="H37" s="17" t="s">
        <v>16</v>
      </c>
      <c r="I37" s="15" t="s">
        <v>120</v>
      </c>
    </row>
    <row r="38" ht="126" customHeight="1" spans="1:9">
      <c r="A38" s="13">
        <v>36</v>
      </c>
      <c r="B38" s="13" t="s">
        <v>90</v>
      </c>
      <c r="C38" s="15" t="s">
        <v>121</v>
      </c>
      <c r="D38" s="15" t="s">
        <v>122</v>
      </c>
      <c r="E38" s="16" t="s">
        <v>13</v>
      </c>
      <c r="F38" s="17" t="s">
        <v>14</v>
      </c>
      <c r="G38" s="17" t="s">
        <v>15</v>
      </c>
      <c r="H38" s="17" t="s">
        <v>16</v>
      </c>
      <c r="I38" s="15" t="s">
        <v>123</v>
      </c>
    </row>
    <row r="39" ht="126" customHeight="1" spans="1:9">
      <c r="A39" s="13">
        <v>37</v>
      </c>
      <c r="B39" s="13" t="s">
        <v>90</v>
      </c>
      <c r="C39" s="15" t="s">
        <v>124</v>
      </c>
      <c r="D39" s="15" t="s">
        <v>125</v>
      </c>
      <c r="E39" s="16" t="s">
        <v>13</v>
      </c>
      <c r="F39" s="17" t="s">
        <v>14</v>
      </c>
      <c r="G39" s="17" t="s">
        <v>15</v>
      </c>
      <c r="H39" s="17" t="s">
        <v>16</v>
      </c>
      <c r="I39" s="15" t="s">
        <v>126</v>
      </c>
    </row>
    <row r="40" ht="126" customHeight="1" spans="1:9">
      <c r="A40" s="13">
        <v>38</v>
      </c>
      <c r="B40" s="13" t="s">
        <v>90</v>
      </c>
      <c r="C40" s="15" t="s">
        <v>127</v>
      </c>
      <c r="D40" s="15" t="s">
        <v>128</v>
      </c>
      <c r="E40" s="16" t="s">
        <v>13</v>
      </c>
      <c r="F40" s="17" t="s">
        <v>14</v>
      </c>
      <c r="G40" s="17" t="s">
        <v>15</v>
      </c>
      <c r="H40" s="17" t="s">
        <v>16</v>
      </c>
      <c r="I40" s="15" t="s">
        <v>129</v>
      </c>
    </row>
    <row r="41" ht="126" customHeight="1" spans="1:9">
      <c r="A41" s="13">
        <v>39</v>
      </c>
      <c r="B41" s="13" t="s">
        <v>90</v>
      </c>
      <c r="C41" s="15" t="s">
        <v>130</v>
      </c>
      <c r="D41" s="15" t="s">
        <v>131</v>
      </c>
      <c r="E41" s="16" t="s">
        <v>13</v>
      </c>
      <c r="F41" s="17" t="s">
        <v>14</v>
      </c>
      <c r="G41" s="17" t="s">
        <v>15</v>
      </c>
      <c r="H41" s="17" t="s">
        <v>16</v>
      </c>
      <c r="I41" s="15" t="s">
        <v>132</v>
      </c>
    </row>
    <row r="42" ht="126" customHeight="1" spans="1:9">
      <c r="A42" s="13">
        <v>40</v>
      </c>
      <c r="B42" s="13" t="s">
        <v>90</v>
      </c>
      <c r="C42" s="15" t="s">
        <v>133</v>
      </c>
      <c r="D42" s="15" t="s">
        <v>134</v>
      </c>
      <c r="E42" s="16" t="s">
        <v>13</v>
      </c>
      <c r="F42" s="17" t="s">
        <v>14</v>
      </c>
      <c r="G42" s="17" t="s">
        <v>15</v>
      </c>
      <c r="H42" s="17" t="s">
        <v>16</v>
      </c>
      <c r="I42" s="15" t="s">
        <v>135</v>
      </c>
    </row>
    <row r="43" ht="126" customHeight="1" spans="1:9">
      <c r="A43" s="13">
        <v>41</v>
      </c>
      <c r="B43" s="13" t="s">
        <v>90</v>
      </c>
      <c r="C43" s="15" t="s">
        <v>136</v>
      </c>
      <c r="D43" s="15" t="s">
        <v>137</v>
      </c>
      <c r="E43" s="16" t="s">
        <v>13</v>
      </c>
      <c r="F43" s="17" t="s">
        <v>14</v>
      </c>
      <c r="G43" s="17" t="s">
        <v>15</v>
      </c>
      <c r="H43" s="17" t="s">
        <v>16</v>
      </c>
      <c r="I43" s="15" t="s">
        <v>138</v>
      </c>
    </row>
    <row r="44" ht="126" customHeight="1" spans="1:9">
      <c r="A44" s="13">
        <v>42</v>
      </c>
      <c r="B44" s="13" t="s">
        <v>90</v>
      </c>
      <c r="C44" s="15" t="s">
        <v>139</v>
      </c>
      <c r="D44" s="15" t="s">
        <v>140</v>
      </c>
      <c r="E44" s="16" t="s">
        <v>13</v>
      </c>
      <c r="F44" s="17" t="s">
        <v>14</v>
      </c>
      <c r="G44" s="17" t="s">
        <v>15</v>
      </c>
      <c r="H44" s="17" t="s">
        <v>16</v>
      </c>
      <c r="I44" s="15" t="s">
        <v>141</v>
      </c>
    </row>
    <row r="45" ht="126" customHeight="1" spans="1:9">
      <c r="A45" s="13">
        <v>43</v>
      </c>
      <c r="B45" s="13" t="s">
        <v>90</v>
      </c>
      <c r="C45" s="15" t="s">
        <v>142</v>
      </c>
      <c r="D45" s="15" t="s">
        <v>143</v>
      </c>
      <c r="E45" s="16" t="s">
        <v>13</v>
      </c>
      <c r="F45" s="17" t="s">
        <v>14</v>
      </c>
      <c r="G45" s="17" t="s">
        <v>15</v>
      </c>
      <c r="H45" s="17" t="s">
        <v>16</v>
      </c>
      <c r="I45" s="15" t="s">
        <v>144</v>
      </c>
    </row>
    <row r="46" ht="126" customHeight="1" spans="1:9">
      <c r="A46" s="13">
        <v>44</v>
      </c>
      <c r="B46" s="13" t="s">
        <v>90</v>
      </c>
      <c r="C46" s="15" t="s">
        <v>145</v>
      </c>
      <c r="D46" s="15" t="s">
        <v>146</v>
      </c>
      <c r="E46" s="16" t="s">
        <v>13</v>
      </c>
      <c r="F46" s="17" t="s">
        <v>14</v>
      </c>
      <c r="G46" s="17" t="s">
        <v>15</v>
      </c>
      <c r="H46" s="17" t="s">
        <v>16</v>
      </c>
      <c r="I46" s="15" t="s">
        <v>147</v>
      </c>
    </row>
    <row r="47" ht="126" customHeight="1" spans="1:9">
      <c r="A47" s="13">
        <v>45</v>
      </c>
      <c r="B47" s="13" t="s">
        <v>90</v>
      </c>
      <c r="C47" s="15" t="s">
        <v>148</v>
      </c>
      <c r="D47" s="15" t="s">
        <v>149</v>
      </c>
      <c r="E47" s="16" t="s">
        <v>13</v>
      </c>
      <c r="F47" s="17" t="s">
        <v>14</v>
      </c>
      <c r="G47" s="17" t="s">
        <v>15</v>
      </c>
      <c r="H47" s="17" t="s">
        <v>16</v>
      </c>
      <c r="I47" s="15" t="s">
        <v>150</v>
      </c>
    </row>
    <row r="48" ht="126" customHeight="1" spans="1:9">
      <c r="A48" s="13">
        <v>46</v>
      </c>
      <c r="B48" s="13" t="s">
        <v>90</v>
      </c>
      <c r="C48" s="15" t="s">
        <v>151</v>
      </c>
      <c r="D48" s="15" t="s">
        <v>152</v>
      </c>
      <c r="E48" s="16" t="s">
        <v>13</v>
      </c>
      <c r="F48" s="17" t="s">
        <v>14</v>
      </c>
      <c r="G48" s="17" t="s">
        <v>15</v>
      </c>
      <c r="H48" s="17" t="s">
        <v>16</v>
      </c>
      <c r="I48" s="15" t="s">
        <v>153</v>
      </c>
    </row>
    <row r="49" ht="126" customHeight="1" spans="1:9">
      <c r="A49" s="13">
        <v>47</v>
      </c>
      <c r="B49" s="13" t="s">
        <v>90</v>
      </c>
      <c r="C49" s="15" t="s">
        <v>154</v>
      </c>
      <c r="D49" s="15" t="s">
        <v>155</v>
      </c>
      <c r="E49" s="16" t="s">
        <v>13</v>
      </c>
      <c r="F49" s="17" t="s">
        <v>14</v>
      </c>
      <c r="G49" s="17" t="s">
        <v>15</v>
      </c>
      <c r="H49" s="17" t="s">
        <v>16</v>
      </c>
      <c r="I49" s="15" t="s">
        <v>156</v>
      </c>
    </row>
    <row r="50" ht="126" customHeight="1" spans="1:9">
      <c r="A50" s="13">
        <v>48</v>
      </c>
      <c r="B50" s="13" t="s">
        <v>90</v>
      </c>
      <c r="C50" s="15" t="s">
        <v>157</v>
      </c>
      <c r="D50" s="15" t="s">
        <v>158</v>
      </c>
      <c r="E50" s="16" t="s">
        <v>13</v>
      </c>
      <c r="F50" s="17" t="s">
        <v>14</v>
      </c>
      <c r="G50" s="17" t="s">
        <v>15</v>
      </c>
      <c r="H50" s="17" t="s">
        <v>16</v>
      </c>
      <c r="I50" s="15" t="s">
        <v>159</v>
      </c>
    </row>
    <row r="51" ht="126" customHeight="1" spans="1:9">
      <c r="A51" s="13">
        <v>49</v>
      </c>
      <c r="B51" s="13" t="s">
        <v>90</v>
      </c>
      <c r="C51" s="15" t="s">
        <v>160</v>
      </c>
      <c r="D51" s="15" t="s">
        <v>161</v>
      </c>
      <c r="E51" s="16" t="s">
        <v>13</v>
      </c>
      <c r="F51" s="17" t="s">
        <v>14</v>
      </c>
      <c r="G51" s="17" t="s">
        <v>15</v>
      </c>
      <c r="H51" s="17" t="s">
        <v>16</v>
      </c>
      <c r="I51" s="15" t="s">
        <v>162</v>
      </c>
    </row>
    <row r="52" ht="126" customHeight="1" spans="1:9">
      <c r="A52" s="13">
        <v>50</v>
      </c>
      <c r="B52" s="13" t="s">
        <v>90</v>
      </c>
      <c r="C52" s="15" t="s">
        <v>163</v>
      </c>
      <c r="D52" s="15" t="s">
        <v>164</v>
      </c>
      <c r="E52" s="16" t="s">
        <v>13</v>
      </c>
      <c r="F52" s="17" t="s">
        <v>14</v>
      </c>
      <c r="G52" s="17" t="s">
        <v>15</v>
      </c>
      <c r="H52" s="17" t="s">
        <v>16</v>
      </c>
      <c r="I52" s="15" t="s">
        <v>165</v>
      </c>
    </row>
    <row r="53" ht="126" customHeight="1" spans="1:9">
      <c r="A53" s="13">
        <v>51</v>
      </c>
      <c r="B53" s="13" t="s">
        <v>90</v>
      </c>
      <c r="C53" s="15" t="s">
        <v>166</v>
      </c>
      <c r="D53" s="15" t="s">
        <v>167</v>
      </c>
      <c r="E53" s="16" t="s">
        <v>13</v>
      </c>
      <c r="F53" s="17" t="s">
        <v>14</v>
      </c>
      <c r="G53" s="17" t="s">
        <v>15</v>
      </c>
      <c r="H53" s="17" t="s">
        <v>16</v>
      </c>
      <c r="I53" s="15" t="s">
        <v>168</v>
      </c>
    </row>
    <row r="54" ht="126" customHeight="1" spans="1:9">
      <c r="A54" s="13">
        <v>52</v>
      </c>
      <c r="B54" s="13" t="s">
        <v>90</v>
      </c>
      <c r="C54" s="15" t="s">
        <v>169</v>
      </c>
      <c r="D54" s="15" t="s">
        <v>170</v>
      </c>
      <c r="E54" s="16" t="s">
        <v>13</v>
      </c>
      <c r="F54" s="17" t="s">
        <v>14</v>
      </c>
      <c r="G54" s="17" t="s">
        <v>15</v>
      </c>
      <c r="H54" s="17" t="s">
        <v>16</v>
      </c>
      <c r="I54" s="15" t="s">
        <v>171</v>
      </c>
    </row>
    <row r="55" ht="126" customHeight="1" spans="1:9">
      <c r="A55" s="13">
        <v>53</v>
      </c>
      <c r="B55" s="13" t="s">
        <v>90</v>
      </c>
      <c r="C55" s="15" t="s">
        <v>172</v>
      </c>
      <c r="D55" s="15" t="s">
        <v>173</v>
      </c>
      <c r="E55" s="16" t="s">
        <v>13</v>
      </c>
      <c r="F55" s="17" t="s">
        <v>14</v>
      </c>
      <c r="G55" s="17" t="s">
        <v>15</v>
      </c>
      <c r="H55" s="17" t="s">
        <v>16</v>
      </c>
      <c r="I55" s="15" t="s">
        <v>174</v>
      </c>
    </row>
    <row r="56" ht="126" customHeight="1" spans="1:9">
      <c r="A56" s="13">
        <v>54</v>
      </c>
      <c r="B56" s="13" t="s">
        <v>90</v>
      </c>
      <c r="C56" s="15" t="s">
        <v>175</v>
      </c>
      <c r="D56" s="15" t="s">
        <v>176</v>
      </c>
      <c r="E56" s="16" t="s">
        <v>13</v>
      </c>
      <c r="F56" s="17" t="s">
        <v>14</v>
      </c>
      <c r="G56" s="17" t="s">
        <v>15</v>
      </c>
      <c r="H56" s="17" t="s">
        <v>16</v>
      </c>
      <c r="I56" s="15" t="s">
        <v>177</v>
      </c>
    </row>
    <row r="57" ht="126" customHeight="1" spans="1:9">
      <c r="A57" s="13">
        <v>55</v>
      </c>
      <c r="B57" s="13" t="s">
        <v>90</v>
      </c>
      <c r="C57" s="15" t="s">
        <v>178</v>
      </c>
      <c r="D57" s="15" t="s">
        <v>179</v>
      </c>
      <c r="E57" s="16" t="s">
        <v>13</v>
      </c>
      <c r="F57" s="17" t="s">
        <v>14</v>
      </c>
      <c r="G57" s="17" t="s">
        <v>15</v>
      </c>
      <c r="H57" s="17" t="s">
        <v>16</v>
      </c>
      <c r="I57" s="15" t="s">
        <v>180</v>
      </c>
    </row>
    <row r="58" ht="126" customHeight="1" spans="1:9">
      <c r="A58" s="13">
        <v>56</v>
      </c>
      <c r="B58" s="13" t="s">
        <v>90</v>
      </c>
      <c r="C58" s="15" t="s">
        <v>181</v>
      </c>
      <c r="D58" s="15" t="s">
        <v>182</v>
      </c>
      <c r="E58" s="16" t="s">
        <v>13</v>
      </c>
      <c r="F58" s="17" t="s">
        <v>14</v>
      </c>
      <c r="G58" s="17" t="s">
        <v>15</v>
      </c>
      <c r="H58" s="17" t="s">
        <v>16</v>
      </c>
      <c r="I58" s="15" t="s">
        <v>183</v>
      </c>
    </row>
    <row r="59" ht="126" customHeight="1" spans="1:9">
      <c r="A59" s="13">
        <v>57</v>
      </c>
      <c r="B59" s="13" t="s">
        <v>90</v>
      </c>
      <c r="C59" s="15" t="s">
        <v>184</v>
      </c>
      <c r="D59" s="15" t="s">
        <v>185</v>
      </c>
      <c r="E59" s="16" t="s">
        <v>13</v>
      </c>
      <c r="F59" s="17" t="s">
        <v>14</v>
      </c>
      <c r="G59" s="17" t="s">
        <v>15</v>
      </c>
      <c r="H59" s="17" t="s">
        <v>16</v>
      </c>
      <c r="I59" s="15" t="s">
        <v>186</v>
      </c>
    </row>
    <row r="60" ht="126" customHeight="1" spans="1:9">
      <c r="A60" s="13">
        <v>58</v>
      </c>
      <c r="B60" s="13" t="s">
        <v>90</v>
      </c>
      <c r="C60" s="15" t="s">
        <v>187</v>
      </c>
      <c r="D60" s="15" t="s">
        <v>188</v>
      </c>
      <c r="E60" s="16" t="s">
        <v>13</v>
      </c>
      <c r="F60" s="17" t="s">
        <v>14</v>
      </c>
      <c r="G60" s="17" t="s">
        <v>15</v>
      </c>
      <c r="H60" s="17" t="s">
        <v>16</v>
      </c>
      <c r="I60" s="15" t="s">
        <v>189</v>
      </c>
    </row>
    <row r="61" ht="126" customHeight="1" spans="1:9">
      <c r="A61" s="13">
        <v>59</v>
      </c>
      <c r="B61" s="13" t="s">
        <v>90</v>
      </c>
      <c r="C61" s="15" t="s">
        <v>190</v>
      </c>
      <c r="D61" s="15" t="s">
        <v>191</v>
      </c>
      <c r="E61" s="16" t="s">
        <v>13</v>
      </c>
      <c r="F61" s="17" t="s">
        <v>14</v>
      </c>
      <c r="G61" s="17" t="s">
        <v>15</v>
      </c>
      <c r="H61" s="17" t="s">
        <v>16</v>
      </c>
      <c r="I61" s="15" t="s">
        <v>192</v>
      </c>
    </row>
    <row r="62" ht="126" customHeight="1" spans="1:9">
      <c r="A62" s="13">
        <v>60</v>
      </c>
      <c r="B62" s="13" t="s">
        <v>90</v>
      </c>
      <c r="C62" s="15" t="s">
        <v>193</v>
      </c>
      <c r="D62" s="15" t="s">
        <v>194</v>
      </c>
      <c r="E62" s="16" t="s">
        <v>13</v>
      </c>
      <c r="F62" s="17" t="s">
        <v>14</v>
      </c>
      <c r="G62" s="17" t="s">
        <v>15</v>
      </c>
      <c r="H62" s="17" t="s">
        <v>16</v>
      </c>
      <c r="I62" s="15" t="s">
        <v>195</v>
      </c>
    </row>
    <row r="63" ht="126" customHeight="1" spans="1:9">
      <c r="A63" s="13">
        <v>61</v>
      </c>
      <c r="B63" s="13" t="s">
        <v>90</v>
      </c>
      <c r="C63" s="15" t="s">
        <v>196</v>
      </c>
      <c r="D63" s="15" t="s">
        <v>197</v>
      </c>
      <c r="E63" s="16" t="s">
        <v>13</v>
      </c>
      <c r="F63" s="17" t="s">
        <v>14</v>
      </c>
      <c r="G63" s="17" t="s">
        <v>15</v>
      </c>
      <c r="H63" s="17" t="s">
        <v>16</v>
      </c>
      <c r="I63" s="15" t="s">
        <v>198</v>
      </c>
    </row>
    <row r="64" ht="126" customHeight="1" spans="1:9">
      <c r="A64" s="13">
        <v>62</v>
      </c>
      <c r="B64" s="18" t="s">
        <v>199</v>
      </c>
      <c r="C64" s="15" t="s">
        <v>200</v>
      </c>
      <c r="D64" s="15" t="s">
        <v>201</v>
      </c>
      <c r="E64" s="16" t="s">
        <v>13</v>
      </c>
      <c r="F64" s="17" t="s">
        <v>14</v>
      </c>
      <c r="G64" s="17" t="s">
        <v>15</v>
      </c>
      <c r="H64" s="17" t="s">
        <v>16</v>
      </c>
      <c r="I64" s="15" t="s">
        <v>202</v>
      </c>
    </row>
    <row r="65" ht="126" customHeight="1" spans="1:9">
      <c r="A65" s="13">
        <v>63</v>
      </c>
      <c r="B65" s="18" t="s">
        <v>199</v>
      </c>
      <c r="C65" s="15" t="s">
        <v>203</v>
      </c>
      <c r="D65" s="15" t="s">
        <v>204</v>
      </c>
      <c r="E65" s="16" t="s">
        <v>13</v>
      </c>
      <c r="F65" s="17" t="s">
        <v>14</v>
      </c>
      <c r="G65" s="17" t="s">
        <v>15</v>
      </c>
      <c r="H65" s="17" t="s">
        <v>16</v>
      </c>
      <c r="I65" s="15" t="s">
        <v>205</v>
      </c>
    </row>
    <row r="66" ht="126" customHeight="1" spans="1:9">
      <c r="A66" s="13">
        <v>64</v>
      </c>
      <c r="B66" s="18" t="s">
        <v>199</v>
      </c>
      <c r="C66" s="15" t="s">
        <v>206</v>
      </c>
      <c r="D66" s="15" t="s">
        <v>207</v>
      </c>
      <c r="E66" s="16" t="s">
        <v>13</v>
      </c>
      <c r="F66" s="17" t="s">
        <v>14</v>
      </c>
      <c r="G66" s="17" t="s">
        <v>15</v>
      </c>
      <c r="H66" s="17" t="s">
        <v>16</v>
      </c>
      <c r="I66" s="15" t="s">
        <v>208</v>
      </c>
    </row>
    <row r="67" ht="126" customHeight="1" spans="1:9">
      <c r="A67" s="13">
        <v>65</v>
      </c>
      <c r="B67" s="18" t="s">
        <v>199</v>
      </c>
      <c r="C67" s="15" t="s">
        <v>209</v>
      </c>
      <c r="D67" s="15" t="s">
        <v>210</v>
      </c>
      <c r="E67" s="16" t="s">
        <v>13</v>
      </c>
      <c r="F67" s="17" t="s">
        <v>14</v>
      </c>
      <c r="G67" s="17" t="s">
        <v>15</v>
      </c>
      <c r="H67" s="17" t="s">
        <v>16</v>
      </c>
      <c r="I67" s="15" t="s">
        <v>211</v>
      </c>
    </row>
    <row r="68" ht="126" customHeight="1" spans="1:9">
      <c r="A68" s="13">
        <v>66</v>
      </c>
      <c r="B68" s="18" t="s">
        <v>199</v>
      </c>
      <c r="C68" s="15" t="s">
        <v>212</v>
      </c>
      <c r="D68" s="15" t="s">
        <v>213</v>
      </c>
      <c r="E68" s="16" t="s">
        <v>13</v>
      </c>
      <c r="F68" s="17" t="s">
        <v>14</v>
      </c>
      <c r="G68" s="17" t="s">
        <v>15</v>
      </c>
      <c r="H68" s="17" t="s">
        <v>16</v>
      </c>
      <c r="I68" s="15" t="s">
        <v>214</v>
      </c>
    </row>
    <row r="69" ht="126" customHeight="1" spans="1:9">
      <c r="A69" s="13">
        <v>67</v>
      </c>
      <c r="B69" s="18" t="s">
        <v>199</v>
      </c>
      <c r="C69" s="15" t="s">
        <v>215</v>
      </c>
      <c r="D69" s="15" t="s">
        <v>216</v>
      </c>
      <c r="E69" s="16" t="s">
        <v>13</v>
      </c>
      <c r="F69" s="17" t="s">
        <v>14</v>
      </c>
      <c r="G69" s="17" t="s">
        <v>15</v>
      </c>
      <c r="H69" s="17" t="s">
        <v>16</v>
      </c>
      <c r="I69" s="15" t="s">
        <v>217</v>
      </c>
    </row>
    <row r="70" ht="126" customHeight="1" spans="1:9">
      <c r="A70" s="13">
        <v>68</v>
      </c>
      <c r="B70" s="18" t="s">
        <v>199</v>
      </c>
      <c r="C70" s="15" t="s">
        <v>218</v>
      </c>
      <c r="D70" s="15" t="s">
        <v>219</v>
      </c>
      <c r="E70" s="16" t="s">
        <v>13</v>
      </c>
      <c r="F70" s="17" t="s">
        <v>14</v>
      </c>
      <c r="G70" s="17" t="s">
        <v>15</v>
      </c>
      <c r="H70" s="17" t="s">
        <v>16</v>
      </c>
      <c r="I70" s="15" t="s">
        <v>220</v>
      </c>
    </row>
    <row r="71" ht="126" customHeight="1" spans="1:9">
      <c r="A71" s="13">
        <v>69</v>
      </c>
      <c r="B71" s="18" t="s">
        <v>199</v>
      </c>
      <c r="C71" s="15" t="s">
        <v>221</v>
      </c>
      <c r="D71" s="15" t="s">
        <v>222</v>
      </c>
      <c r="E71" s="16" t="s">
        <v>13</v>
      </c>
      <c r="F71" s="17" t="s">
        <v>14</v>
      </c>
      <c r="G71" s="17" t="s">
        <v>15</v>
      </c>
      <c r="H71" s="17" t="s">
        <v>16</v>
      </c>
      <c r="I71" s="15" t="s">
        <v>223</v>
      </c>
    </row>
    <row r="72" ht="126" customHeight="1" spans="1:9">
      <c r="A72" s="13">
        <v>70</v>
      </c>
      <c r="B72" s="18" t="s">
        <v>199</v>
      </c>
      <c r="C72" s="15" t="s">
        <v>224</v>
      </c>
      <c r="D72" s="15" t="s">
        <v>225</v>
      </c>
      <c r="E72" s="16" t="s">
        <v>13</v>
      </c>
      <c r="F72" s="17" t="s">
        <v>14</v>
      </c>
      <c r="G72" s="17" t="s">
        <v>15</v>
      </c>
      <c r="H72" s="17" t="s">
        <v>16</v>
      </c>
      <c r="I72" s="15" t="s">
        <v>226</v>
      </c>
    </row>
    <row r="73" ht="126" customHeight="1" spans="1:9">
      <c r="A73" s="13">
        <v>71</v>
      </c>
      <c r="B73" s="18" t="s">
        <v>199</v>
      </c>
      <c r="C73" s="15" t="s">
        <v>227</v>
      </c>
      <c r="D73" s="15" t="s">
        <v>228</v>
      </c>
      <c r="E73" s="16" t="s">
        <v>13</v>
      </c>
      <c r="F73" s="17" t="s">
        <v>14</v>
      </c>
      <c r="G73" s="17" t="s">
        <v>15</v>
      </c>
      <c r="H73" s="17" t="s">
        <v>16</v>
      </c>
      <c r="I73" s="15" t="s">
        <v>229</v>
      </c>
    </row>
    <row r="74" ht="126" customHeight="1" spans="1:9">
      <c r="A74" s="13">
        <v>72</v>
      </c>
      <c r="B74" s="18" t="s">
        <v>199</v>
      </c>
      <c r="C74" s="15" t="s">
        <v>230</v>
      </c>
      <c r="D74" s="15" t="s">
        <v>231</v>
      </c>
      <c r="E74" s="16" t="s">
        <v>13</v>
      </c>
      <c r="F74" s="17" t="s">
        <v>14</v>
      </c>
      <c r="G74" s="17" t="s">
        <v>15</v>
      </c>
      <c r="H74" s="17" t="s">
        <v>16</v>
      </c>
      <c r="I74" s="15" t="s">
        <v>232</v>
      </c>
    </row>
    <row r="75" ht="126" customHeight="1" spans="1:9">
      <c r="A75" s="13">
        <v>73</v>
      </c>
      <c r="B75" s="18" t="s">
        <v>199</v>
      </c>
      <c r="C75" s="15" t="s">
        <v>233</v>
      </c>
      <c r="D75" s="15" t="s">
        <v>234</v>
      </c>
      <c r="E75" s="16" t="s">
        <v>13</v>
      </c>
      <c r="F75" s="17" t="s">
        <v>14</v>
      </c>
      <c r="G75" s="17" t="s">
        <v>15</v>
      </c>
      <c r="H75" s="17" t="s">
        <v>16</v>
      </c>
      <c r="I75" s="15" t="s">
        <v>235</v>
      </c>
    </row>
    <row r="76" ht="126" customHeight="1" spans="1:9">
      <c r="A76" s="13">
        <v>74</v>
      </c>
      <c r="B76" s="18" t="s">
        <v>199</v>
      </c>
      <c r="C76" s="15" t="s">
        <v>236</v>
      </c>
      <c r="D76" s="15" t="s">
        <v>237</v>
      </c>
      <c r="E76" s="16" t="s">
        <v>13</v>
      </c>
      <c r="F76" s="17" t="s">
        <v>14</v>
      </c>
      <c r="G76" s="17" t="s">
        <v>15</v>
      </c>
      <c r="H76" s="17" t="s">
        <v>16</v>
      </c>
      <c r="I76" s="15" t="s">
        <v>238</v>
      </c>
    </row>
    <row r="77" ht="126" customHeight="1" spans="1:9">
      <c r="A77" s="13">
        <v>75</v>
      </c>
      <c r="B77" s="18" t="s">
        <v>199</v>
      </c>
      <c r="C77" s="15" t="s">
        <v>239</v>
      </c>
      <c r="D77" s="15" t="s">
        <v>240</v>
      </c>
      <c r="E77" s="16" t="s">
        <v>13</v>
      </c>
      <c r="F77" s="17" t="s">
        <v>14</v>
      </c>
      <c r="G77" s="17" t="s">
        <v>15</v>
      </c>
      <c r="H77" s="17" t="s">
        <v>16</v>
      </c>
      <c r="I77" s="15" t="s">
        <v>241</v>
      </c>
    </row>
    <row r="78" ht="126" customHeight="1" spans="1:9">
      <c r="A78" s="13">
        <v>76</v>
      </c>
      <c r="B78" s="18" t="s">
        <v>199</v>
      </c>
      <c r="C78" s="15" t="s">
        <v>242</v>
      </c>
      <c r="D78" s="15" t="s">
        <v>243</v>
      </c>
      <c r="E78" s="16" t="s">
        <v>13</v>
      </c>
      <c r="F78" s="17" t="s">
        <v>14</v>
      </c>
      <c r="G78" s="17" t="s">
        <v>15</v>
      </c>
      <c r="H78" s="17" t="s">
        <v>16</v>
      </c>
      <c r="I78" s="15" t="s">
        <v>244</v>
      </c>
    </row>
    <row r="79" ht="126" customHeight="1" spans="1:9">
      <c r="A79" s="13">
        <v>77</v>
      </c>
      <c r="B79" s="18" t="s">
        <v>199</v>
      </c>
      <c r="C79" s="15" t="s">
        <v>245</v>
      </c>
      <c r="D79" s="15" t="s">
        <v>246</v>
      </c>
      <c r="E79" s="16" t="s">
        <v>13</v>
      </c>
      <c r="F79" s="17" t="s">
        <v>14</v>
      </c>
      <c r="G79" s="17" t="s">
        <v>15</v>
      </c>
      <c r="H79" s="17" t="s">
        <v>16</v>
      </c>
      <c r="I79" s="15" t="s">
        <v>247</v>
      </c>
    </row>
    <row r="80" ht="126" customHeight="1" spans="1:9">
      <c r="A80" s="13">
        <v>78</v>
      </c>
      <c r="B80" s="18" t="s">
        <v>199</v>
      </c>
      <c r="C80" s="15" t="s">
        <v>248</v>
      </c>
      <c r="D80" s="15" t="s">
        <v>249</v>
      </c>
      <c r="E80" s="16" t="s">
        <v>13</v>
      </c>
      <c r="F80" s="17" t="s">
        <v>14</v>
      </c>
      <c r="G80" s="17" t="s">
        <v>15</v>
      </c>
      <c r="H80" s="17" t="s">
        <v>16</v>
      </c>
      <c r="I80" s="15" t="s">
        <v>250</v>
      </c>
    </row>
    <row r="81" ht="126" customHeight="1" spans="1:9">
      <c r="A81" s="13">
        <v>79</v>
      </c>
      <c r="B81" s="18" t="s">
        <v>199</v>
      </c>
      <c r="C81" s="15" t="s">
        <v>251</v>
      </c>
      <c r="D81" s="15" t="s">
        <v>252</v>
      </c>
      <c r="E81" s="16" t="s">
        <v>13</v>
      </c>
      <c r="F81" s="17" t="s">
        <v>14</v>
      </c>
      <c r="G81" s="17" t="s">
        <v>15</v>
      </c>
      <c r="H81" s="17" t="s">
        <v>16</v>
      </c>
      <c r="I81" s="15" t="s">
        <v>253</v>
      </c>
    </row>
    <row r="82" ht="126" customHeight="1" spans="1:9">
      <c r="A82" s="13">
        <v>80</v>
      </c>
      <c r="B82" s="18" t="s">
        <v>199</v>
      </c>
      <c r="C82" s="15" t="s">
        <v>254</v>
      </c>
      <c r="D82" s="15" t="s">
        <v>255</v>
      </c>
      <c r="E82" s="16" t="s">
        <v>13</v>
      </c>
      <c r="F82" s="17" t="s">
        <v>14</v>
      </c>
      <c r="G82" s="17" t="s">
        <v>15</v>
      </c>
      <c r="H82" s="17" t="s">
        <v>16</v>
      </c>
      <c r="I82" s="15" t="s">
        <v>256</v>
      </c>
    </row>
    <row r="83" ht="126" customHeight="1" spans="1:9">
      <c r="A83" s="13">
        <v>81</v>
      </c>
      <c r="B83" s="18" t="s">
        <v>199</v>
      </c>
      <c r="C83" s="15" t="s">
        <v>257</v>
      </c>
      <c r="D83" s="15" t="s">
        <v>258</v>
      </c>
      <c r="E83" s="16" t="s">
        <v>13</v>
      </c>
      <c r="F83" s="17" t="s">
        <v>14</v>
      </c>
      <c r="G83" s="17" t="s">
        <v>15</v>
      </c>
      <c r="H83" s="17" t="s">
        <v>16</v>
      </c>
      <c r="I83" s="15" t="s">
        <v>259</v>
      </c>
    </row>
    <row r="84" ht="126" customHeight="1" spans="1:9">
      <c r="A84" s="13">
        <v>82</v>
      </c>
      <c r="B84" s="18" t="s">
        <v>199</v>
      </c>
      <c r="C84" s="15" t="s">
        <v>260</v>
      </c>
      <c r="D84" s="15" t="s">
        <v>261</v>
      </c>
      <c r="E84" s="16" t="s">
        <v>13</v>
      </c>
      <c r="F84" s="17" t="s">
        <v>14</v>
      </c>
      <c r="G84" s="17" t="s">
        <v>15</v>
      </c>
      <c r="H84" s="17" t="s">
        <v>16</v>
      </c>
      <c r="I84" s="15" t="s">
        <v>262</v>
      </c>
    </row>
    <row r="85" ht="126" customHeight="1" spans="1:9">
      <c r="A85" s="13">
        <v>83</v>
      </c>
      <c r="B85" s="18" t="s">
        <v>199</v>
      </c>
      <c r="C85" s="15" t="s">
        <v>263</v>
      </c>
      <c r="D85" s="15" t="s">
        <v>264</v>
      </c>
      <c r="E85" s="16" t="s">
        <v>13</v>
      </c>
      <c r="F85" s="17" t="s">
        <v>14</v>
      </c>
      <c r="G85" s="17" t="s">
        <v>15</v>
      </c>
      <c r="H85" s="17" t="s">
        <v>16</v>
      </c>
      <c r="I85" s="15" t="s">
        <v>265</v>
      </c>
    </row>
    <row r="86" ht="126" customHeight="1" spans="1:9">
      <c r="A86" s="13">
        <v>84</v>
      </c>
      <c r="B86" s="18" t="s">
        <v>199</v>
      </c>
      <c r="C86" s="15" t="s">
        <v>266</v>
      </c>
      <c r="D86" s="15" t="s">
        <v>267</v>
      </c>
      <c r="E86" s="16" t="s">
        <v>13</v>
      </c>
      <c r="F86" s="17" t="s">
        <v>14</v>
      </c>
      <c r="G86" s="17" t="s">
        <v>15</v>
      </c>
      <c r="H86" s="17" t="s">
        <v>16</v>
      </c>
      <c r="I86" s="15" t="s">
        <v>268</v>
      </c>
    </row>
    <row r="87" ht="126" customHeight="1" spans="1:9">
      <c r="A87" s="13">
        <v>85</v>
      </c>
      <c r="B87" s="18" t="s">
        <v>199</v>
      </c>
      <c r="C87" s="15" t="s">
        <v>269</v>
      </c>
      <c r="D87" s="15" t="s">
        <v>270</v>
      </c>
      <c r="E87" s="16" t="s">
        <v>13</v>
      </c>
      <c r="F87" s="17" t="s">
        <v>14</v>
      </c>
      <c r="G87" s="17" t="s">
        <v>15</v>
      </c>
      <c r="H87" s="17" t="s">
        <v>16</v>
      </c>
      <c r="I87" s="15" t="s">
        <v>271</v>
      </c>
    </row>
    <row r="88" ht="126" customHeight="1" spans="1:9">
      <c r="A88" s="13">
        <v>86</v>
      </c>
      <c r="B88" s="18" t="s">
        <v>199</v>
      </c>
      <c r="C88" s="15" t="s">
        <v>272</v>
      </c>
      <c r="D88" s="15" t="s">
        <v>273</v>
      </c>
      <c r="E88" s="16" t="s">
        <v>13</v>
      </c>
      <c r="F88" s="17" t="s">
        <v>14</v>
      </c>
      <c r="G88" s="17" t="s">
        <v>15</v>
      </c>
      <c r="H88" s="17" t="s">
        <v>16</v>
      </c>
      <c r="I88" s="15" t="s">
        <v>274</v>
      </c>
    </row>
    <row r="89" ht="126" customHeight="1" spans="1:9">
      <c r="A89" s="13">
        <v>87</v>
      </c>
      <c r="B89" s="13" t="s">
        <v>275</v>
      </c>
      <c r="C89" s="15" t="s">
        <v>276</v>
      </c>
      <c r="D89" s="15" t="s">
        <v>277</v>
      </c>
      <c r="E89" s="16" t="s">
        <v>13</v>
      </c>
      <c r="F89" s="17" t="s">
        <v>14</v>
      </c>
      <c r="G89" s="17" t="s">
        <v>15</v>
      </c>
      <c r="H89" s="17" t="s">
        <v>16</v>
      </c>
      <c r="I89" s="15" t="s">
        <v>278</v>
      </c>
    </row>
    <row r="90" ht="126" customHeight="1" spans="1:9">
      <c r="A90" s="13">
        <v>88</v>
      </c>
      <c r="B90" s="13" t="s">
        <v>275</v>
      </c>
      <c r="C90" s="15" t="s">
        <v>279</v>
      </c>
      <c r="D90" s="15" t="s">
        <v>280</v>
      </c>
      <c r="E90" s="16" t="s">
        <v>13</v>
      </c>
      <c r="F90" s="17" t="s">
        <v>14</v>
      </c>
      <c r="G90" s="17" t="s">
        <v>15</v>
      </c>
      <c r="H90" s="17" t="s">
        <v>16</v>
      </c>
      <c r="I90" s="15" t="s">
        <v>281</v>
      </c>
    </row>
    <row r="91" ht="126" customHeight="1" spans="1:9">
      <c r="A91" s="13">
        <v>89</v>
      </c>
      <c r="B91" s="13" t="s">
        <v>275</v>
      </c>
      <c r="C91" s="15" t="s">
        <v>282</v>
      </c>
      <c r="D91" s="15" t="s">
        <v>283</v>
      </c>
      <c r="E91" s="16" t="s">
        <v>13</v>
      </c>
      <c r="F91" s="17" t="s">
        <v>14</v>
      </c>
      <c r="G91" s="17" t="s">
        <v>15</v>
      </c>
      <c r="H91" s="17" t="s">
        <v>16</v>
      </c>
      <c r="I91" s="15" t="s">
        <v>284</v>
      </c>
    </row>
    <row r="92" ht="126" customHeight="1" spans="1:9">
      <c r="A92" s="13">
        <v>90</v>
      </c>
      <c r="B92" s="13" t="s">
        <v>275</v>
      </c>
      <c r="C92" s="15" t="s">
        <v>285</v>
      </c>
      <c r="D92" s="15" t="s">
        <v>286</v>
      </c>
      <c r="E92" s="16" t="s">
        <v>13</v>
      </c>
      <c r="F92" s="17" t="s">
        <v>14</v>
      </c>
      <c r="G92" s="17" t="s">
        <v>15</v>
      </c>
      <c r="H92" s="17" t="s">
        <v>16</v>
      </c>
      <c r="I92" s="15" t="s">
        <v>287</v>
      </c>
    </row>
    <row r="93" ht="126" customHeight="1" spans="1:9">
      <c r="A93" s="13">
        <v>91</v>
      </c>
      <c r="B93" s="13" t="s">
        <v>275</v>
      </c>
      <c r="C93" s="15" t="s">
        <v>288</v>
      </c>
      <c r="D93" s="15" t="s">
        <v>289</v>
      </c>
      <c r="E93" s="16" t="s">
        <v>13</v>
      </c>
      <c r="F93" s="17" t="s">
        <v>14</v>
      </c>
      <c r="G93" s="17" t="s">
        <v>15</v>
      </c>
      <c r="H93" s="17" t="s">
        <v>16</v>
      </c>
      <c r="I93" s="15" t="s">
        <v>290</v>
      </c>
    </row>
    <row r="94" ht="126" customHeight="1" spans="1:9">
      <c r="A94" s="13">
        <v>92</v>
      </c>
      <c r="B94" s="13" t="s">
        <v>275</v>
      </c>
      <c r="C94" s="15" t="s">
        <v>291</v>
      </c>
      <c r="D94" s="15" t="s">
        <v>292</v>
      </c>
      <c r="E94" s="16" t="s">
        <v>13</v>
      </c>
      <c r="F94" s="17" t="s">
        <v>14</v>
      </c>
      <c r="G94" s="17" t="s">
        <v>15</v>
      </c>
      <c r="H94" s="17" t="s">
        <v>16</v>
      </c>
      <c r="I94" s="15" t="s">
        <v>293</v>
      </c>
    </row>
    <row r="95" ht="126" customHeight="1" spans="1:9">
      <c r="A95" s="13">
        <v>93</v>
      </c>
      <c r="B95" s="13" t="s">
        <v>275</v>
      </c>
      <c r="C95" s="15" t="s">
        <v>294</v>
      </c>
      <c r="D95" s="15" t="s">
        <v>295</v>
      </c>
      <c r="E95" s="16" t="s">
        <v>13</v>
      </c>
      <c r="F95" s="17" t="s">
        <v>14</v>
      </c>
      <c r="G95" s="17" t="s">
        <v>15</v>
      </c>
      <c r="H95" s="17" t="s">
        <v>16</v>
      </c>
      <c r="I95" s="15" t="s">
        <v>296</v>
      </c>
    </row>
    <row r="96" ht="126" customHeight="1" spans="1:9">
      <c r="A96" s="13">
        <v>94</v>
      </c>
      <c r="B96" s="13" t="s">
        <v>275</v>
      </c>
      <c r="C96" s="15" t="s">
        <v>297</v>
      </c>
      <c r="D96" s="15" t="s">
        <v>298</v>
      </c>
      <c r="E96" s="16" t="s">
        <v>13</v>
      </c>
      <c r="F96" s="17" t="s">
        <v>14</v>
      </c>
      <c r="G96" s="17" t="s">
        <v>15</v>
      </c>
      <c r="H96" s="17" t="s">
        <v>16</v>
      </c>
      <c r="I96" s="15" t="s">
        <v>299</v>
      </c>
    </row>
    <row r="97" ht="126" customHeight="1" spans="1:9">
      <c r="A97" s="13">
        <v>95</v>
      </c>
      <c r="B97" s="13" t="s">
        <v>275</v>
      </c>
      <c r="C97" s="15" t="s">
        <v>300</v>
      </c>
      <c r="D97" s="15" t="s">
        <v>301</v>
      </c>
      <c r="E97" s="16" t="s">
        <v>13</v>
      </c>
      <c r="F97" s="17" t="s">
        <v>14</v>
      </c>
      <c r="G97" s="17" t="s">
        <v>15</v>
      </c>
      <c r="H97" s="17" t="s">
        <v>16</v>
      </c>
      <c r="I97" s="15" t="s">
        <v>302</v>
      </c>
    </row>
    <row r="98" ht="126" customHeight="1" spans="1:9">
      <c r="A98" s="13">
        <v>96</v>
      </c>
      <c r="B98" s="13" t="s">
        <v>275</v>
      </c>
      <c r="C98" s="15" t="s">
        <v>303</v>
      </c>
      <c r="D98" s="15" t="s">
        <v>304</v>
      </c>
      <c r="E98" s="16" t="s">
        <v>13</v>
      </c>
      <c r="F98" s="17" t="s">
        <v>14</v>
      </c>
      <c r="G98" s="17" t="s">
        <v>15</v>
      </c>
      <c r="H98" s="17" t="s">
        <v>16</v>
      </c>
      <c r="I98" s="15" t="s">
        <v>305</v>
      </c>
    </row>
    <row r="99" ht="126" customHeight="1" spans="1:9">
      <c r="A99" s="13">
        <v>97</v>
      </c>
      <c r="B99" s="13" t="s">
        <v>275</v>
      </c>
      <c r="C99" s="15" t="s">
        <v>306</v>
      </c>
      <c r="D99" s="15" t="s">
        <v>307</v>
      </c>
      <c r="E99" s="16" t="s">
        <v>13</v>
      </c>
      <c r="F99" s="17" t="s">
        <v>14</v>
      </c>
      <c r="G99" s="17" t="s">
        <v>15</v>
      </c>
      <c r="H99" s="17" t="s">
        <v>16</v>
      </c>
      <c r="I99" s="15" t="s">
        <v>308</v>
      </c>
    </row>
    <row r="100" ht="126" customHeight="1" spans="1:9">
      <c r="A100" s="13">
        <v>98</v>
      </c>
      <c r="B100" s="13" t="s">
        <v>275</v>
      </c>
      <c r="C100" s="15" t="s">
        <v>309</v>
      </c>
      <c r="D100" s="15" t="s">
        <v>310</v>
      </c>
      <c r="E100" s="16" t="s">
        <v>13</v>
      </c>
      <c r="F100" s="17" t="s">
        <v>14</v>
      </c>
      <c r="G100" s="17" t="s">
        <v>15</v>
      </c>
      <c r="H100" s="17" t="s">
        <v>16</v>
      </c>
      <c r="I100" s="15" t="s">
        <v>311</v>
      </c>
    </row>
    <row r="101" ht="126" customHeight="1" spans="1:9">
      <c r="A101" s="13">
        <v>99</v>
      </c>
      <c r="B101" s="13" t="s">
        <v>275</v>
      </c>
      <c r="C101" s="15" t="s">
        <v>312</v>
      </c>
      <c r="D101" s="15" t="s">
        <v>313</v>
      </c>
      <c r="E101" s="16" t="s">
        <v>13</v>
      </c>
      <c r="F101" s="17" t="s">
        <v>14</v>
      </c>
      <c r="G101" s="17" t="s">
        <v>15</v>
      </c>
      <c r="H101" s="17" t="s">
        <v>16</v>
      </c>
      <c r="I101" s="15" t="s">
        <v>314</v>
      </c>
    </row>
    <row r="102" ht="126" customHeight="1" spans="1:9">
      <c r="A102" s="13">
        <v>100</v>
      </c>
      <c r="B102" s="13" t="s">
        <v>275</v>
      </c>
      <c r="C102" s="15" t="s">
        <v>315</v>
      </c>
      <c r="D102" s="15" t="s">
        <v>316</v>
      </c>
      <c r="E102" s="16" t="s">
        <v>13</v>
      </c>
      <c r="F102" s="17" t="s">
        <v>14</v>
      </c>
      <c r="G102" s="17" t="s">
        <v>15</v>
      </c>
      <c r="H102" s="17" t="s">
        <v>16</v>
      </c>
      <c r="I102" s="15" t="s">
        <v>317</v>
      </c>
    </row>
    <row r="103" ht="126" customHeight="1" spans="1:9">
      <c r="A103" s="13">
        <v>101</v>
      </c>
      <c r="B103" s="13" t="s">
        <v>275</v>
      </c>
      <c r="C103" s="15" t="s">
        <v>318</v>
      </c>
      <c r="D103" s="15" t="s">
        <v>319</v>
      </c>
      <c r="E103" s="16" t="s">
        <v>13</v>
      </c>
      <c r="F103" s="17" t="s">
        <v>14</v>
      </c>
      <c r="G103" s="17" t="s">
        <v>15</v>
      </c>
      <c r="H103" s="17" t="s">
        <v>16</v>
      </c>
      <c r="I103" s="15" t="s">
        <v>320</v>
      </c>
    </row>
    <row r="104" ht="126" customHeight="1" spans="1:9">
      <c r="A104" s="13">
        <v>102</v>
      </c>
      <c r="B104" s="13" t="s">
        <v>275</v>
      </c>
      <c r="C104" s="15" t="s">
        <v>321</v>
      </c>
      <c r="D104" s="15" t="s">
        <v>322</v>
      </c>
      <c r="E104" s="16" t="s">
        <v>13</v>
      </c>
      <c r="F104" s="17" t="s">
        <v>14</v>
      </c>
      <c r="G104" s="17" t="s">
        <v>15</v>
      </c>
      <c r="H104" s="17" t="s">
        <v>16</v>
      </c>
      <c r="I104" s="15" t="s">
        <v>323</v>
      </c>
    </row>
    <row r="105" ht="126" customHeight="1" spans="1:9">
      <c r="A105" s="13">
        <v>103</v>
      </c>
      <c r="B105" s="13" t="s">
        <v>275</v>
      </c>
      <c r="C105" s="15" t="s">
        <v>324</v>
      </c>
      <c r="D105" s="15" t="s">
        <v>325</v>
      </c>
      <c r="E105" s="16" t="s">
        <v>13</v>
      </c>
      <c r="F105" s="17" t="s">
        <v>14</v>
      </c>
      <c r="G105" s="17" t="s">
        <v>15</v>
      </c>
      <c r="H105" s="17" t="s">
        <v>16</v>
      </c>
      <c r="I105" s="15" t="s">
        <v>326</v>
      </c>
    </row>
    <row r="106" ht="126" customHeight="1" spans="1:9">
      <c r="A106" s="13">
        <v>104</v>
      </c>
      <c r="B106" s="13" t="s">
        <v>275</v>
      </c>
      <c r="C106" s="15" t="s">
        <v>327</v>
      </c>
      <c r="D106" s="15" t="s">
        <v>328</v>
      </c>
      <c r="E106" s="16" t="s">
        <v>13</v>
      </c>
      <c r="F106" s="17" t="s">
        <v>14</v>
      </c>
      <c r="G106" s="17" t="s">
        <v>15</v>
      </c>
      <c r="H106" s="17" t="s">
        <v>16</v>
      </c>
      <c r="I106" s="15" t="s">
        <v>329</v>
      </c>
    </row>
    <row r="107" ht="126" customHeight="1" spans="1:9">
      <c r="A107" s="13">
        <v>105</v>
      </c>
      <c r="B107" s="13" t="s">
        <v>275</v>
      </c>
      <c r="C107" s="15" t="s">
        <v>330</v>
      </c>
      <c r="D107" s="15" t="s">
        <v>331</v>
      </c>
      <c r="E107" s="16" t="s">
        <v>13</v>
      </c>
      <c r="F107" s="17" t="s">
        <v>14</v>
      </c>
      <c r="G107" s="17" t="s">
        <v>15</v>
      </c>
      <c r="H107" s="17" t="s">
        <v>16</v>
      </c>
      <c r="I107" s="15" t="s">
        <v>332</v>
      </c>
    </row>
    <row r="108" ht="126" customHeight="1" spans="1:9">
      <c r="A108" s="13">
        <v>106</v>
      </c>
      <c r="B108" s="13" t="s">
        <v>275</v>
      </c>
      <c r="C108" s="15" t="s">
        <v>333</v>
      </c>
      <c r="D108" s="15" t="s">
        <v>334</v>
      </c>
      <c r="E108" s="16" t="s">
        <v>13</v>
      </c>
      <c r="F108" s="17" t="s">
        <v>14</v>
      </c>
      <c r="G108" s="17" t="s">
        <v>15</v>
      </c>
      <c r="H108" s="17" t="s">
        <v>16</v>
      </c>
      <c r="I108" s="15" t="s">
        <v>335</v>
      </c>
    </row>
    <row r="109" ht="126" customHeight="1" spans="1:9">
      <c r="A109" s="13">
        <v>107</v>
      </c>
      <c r="B109" s="13" t="s">
        <v>275</v>
      </c>
      <c r="C109" s="15" t="s">
        <v>336</v>
      </c>
      <c r="D109" s="15" t="s">
        <v>337</v>
      </c>
      <c r="E109" s="16" t="s">
        <v>13</v>
      </c>
      <c r="F109" s="17" t="s">
        <v>14</v>
      </c>
      <c r="G109" s="17" t="s">
        <v>15</v>
      </c>
      <c r="H109" s="17" t="s">
        <v>16</v>
      </c>
      <c r="I109" s="15" t="s">
        <v>338</v>
      </c>
    </row>
    <row r="110" ht="126" customHeight="1" spans="1:9">
      <c r="A110" s="13">
        <v>108</v>
      </c>
      <c r="B110" s="13" t="s">
        <v>275</v>
      </c>
      <c r="C110" s="15" t="s">
        <v>339</v>
      </c>
      <c r="D110" s="15" t="s">
        <v>340</v>
      </c>
      <c r="E110" s="16" t="s">
        <v>13</v>
      </c>
      <c r="F110" s="17" t="s">
        <v>14</v>
      </c>
      <c r="G110" s="17" t="s">
        <v>15</v>
      </c>
      <c r="H110" s="17" t="s">
        <v>16</v>
      </c>
      <c r="I110" s="15" t="s">
        <v>341</v>
      </c>
    </row>
    <row r="111" ht="126" customHeight="1" spans="1:9">
      <c r="A111" s="13">
        <v>109</v>
      </c>
      <c r="B111" s="13" t="s">
        <v>275</v>
      </c>
      <c r="C111" s="15" t="s">
        <v>342</v>
      </c>
      <c r="D111" s="15" t="s">
        <v>343</v>
      </c>
      <c r="E111" s="16" t="s">
        <v>13</v>
      </c>
      <c r="F111" s="17" t="s">
        <v>14</v>
      </c>
      <c r="G111" s="17" t="s">
        <v>15</v>
      </c>
      <c r="H111" s="17" t="s">
        <v>16</v>
      </c>
      <c r="I111" s="15" t="s">
        <v>344</v>
      </c>
    </row>
    <row r="112" ht="126" customHeight="1" spans="1:9">
      <c r="A112" s="13">
        <v>110</v>
      </c>
      <c r="B112" s="13" t="s">
        <v>275</v>
      </c>
      <c r="C112" s="15" t="s">
        <v>345</v>
      </c>
      <c r="D112" s="15" t="s">
        <v>346</v>
      </c>
      <c r="E112" s="16" t="s">
        <v>13</v>
      </c>
      <c r="F112" s="17" t="s">
        <v>14</v>
      </c>
      <c r="G112" s="17" t="s">
        <v>15</v>
      </c>
      <c r="H112" s="17" t="s">
        <v>16</v>
      </c>
      <c r="I112" s="15" t="s">
        <v>347</v>
      </c>
    </row>
    <row r="113" ht="126" customHeight="1" spans="1:9">
      <c r="A113" s="13">
        <v>111</v>
      </c>
      <c r="B113" s="13" t="s">
        <v>275</v>
      </c>
      <c r="C113" s="15" t="s">
        <v>348</v>
      </c>
      <c r="D113" s="15" t="s">
        <v>349</v>
      </c>
      <c r="E113" s="16" t="s">
        <v>13</v>
      </c>
      <c r="F113" s="17" t="s">
        <v>14</v>
      </c>
      <c r="G113" s="17" t="s">
        <v>15</v>
      </c>
      <c r="H113" s="17" t="s">
        <v>16</v>
      </c>
      <c r="I113" s="15" t="s">
        <v>350</v>
      </c>
    </row>
    <row r="114" ht="126" customHeight="1" spans="1:9">
      <c r="A114" s="13">
        <v>112</v>
      </c>
      <c r="B114" s="13" t="s">
        <v>275</v>
      </c>
      <c r="C114" s="15" t="s">
        <v>351</v>
      </c>
      <c r="D114" s="15" t="s">
        <v>352</v>
      </c>
      <c r="E114" s="16" t="s">
        <v>13</v>
      </c>
      <c r="F114" s="17" t="s">
        <v>14</v>
      </c>
      <c r="G114" s="17" t="s">
        <v>15</v>
      </c>
      <c r="H114" s="17" t="s">
        <v>16</v>
      </c>
      <c r="I114" s="15" t="s">
        <v>353</v>
      </c>
    </row>
    <row r="115" ht="126" customHeight="1" spans="1:9">
      <c r="A115" s="13">
        <v>113</v>
      </c>
      <c r="B115" s="13" t="s">
        <v>275</v>
      </c>
      <c r="C115" s="15" t="s">
        <v>354</v>
      </c>
      <c r="D115" s="15" t="s">
        <v>355</v>
      </c>
      <c r="E115" s="16" t="s">
        <v>13</v>
      </c>
      <c r="F115" s="17" t="s">
        <v>14</v>
      </c>
      <c r="G115" s="17" t="s">
        <v>15</v>
      </c>
      <c r="H115" s="17" t="s">
        <v>16</v>
      </c>
      <c r="I115" s="15" t="s">
        <v>356</v>
      </c>
    </row>
    <row r="116" ht="126" customHeight="1" spans="1:9">
      <c r="A116" s="13">
        <v>114</v>
      </c>
      <c r="B116" s="13" t="s">
        <v>275</v>
      </c>
      <c r="C116" s="15" t="s">
        <v>357</v>
      </c>
      <c r="D116" s="15" t="s">
        <v>358</v>
      </c>
      <c r="E116" s="16" t="s">
        <v>13</v>
      </c>
      <c r="F116" s="17" t="s">
        <v>14</v>
      </c>
      <c r="G116" s="17" t="s">
        <v>15</v>
      </c>
      <c r="H116" s="17" t="s">
        <v>16</v>
      </c>
      <c r="I116" s="15" t="s">
        <v>359</v>
      </c>
    </row>
    <row r="117" ht="126" customHeight="1" spans="1:9">
      <c r="A117" s="13">
        <v>115</v>
      </c>
      <c r="B117" s="13" t="s">
        <v>275</v>
      </c>
      <c r="C117" s="15" t="s">
        <v>360</v>
      </c>
      <c r="D117" s="15" t="s">
        <v>361</v>
      </c>
      <c r="E117" s="16" t="s">
        <v>13</v>
      </c>
      <c r="F117" s="17" t="s">
        <v>14</v>
      </c>
      <c r="G117" s="17" t="s">
        <v>15</v>
      </c>
      <c r="H117" s="17" t="s">
        <v>16</v>
      </c>
      <c r="I117" s="15" t="s">
        <v>362</v>
      </c>
    </row>
    <row r="118" ht="126" customHeight="1" spans="1:9">
      <c r="A118" s="13">
        <v>116</v>
      </c>
      <c r="B118" s="13" t="s">
        <v>275</v>
      </c>
      <c r="C118" s="15" t="s">
        <v>363</v>
      </c>
      <c r="D118" s="15" t="s">
        <v>364</v>
      </c>
      <c r="E118" s="16" t="s">
        <v>13</v>
      </c>
      <c r="F118" s="17" t="s">
        <v>14</v>
      </c>
      <c r="G118" s="17" t="s">
        <v>15</v>
      </c>
      <c r="H118" s="17" t="s">
        <v>16</v>
      </c>
      <c r="I118" s="15" t="s">
        <v>365</v>
      </c>
    </row>
    <row r="119" ht="126" customHeight="1" spans="1:9">
      <c r="A119" s="13">
        <v>117</v>
      </c>
      <c r="B119" s="13" t="s">
        <v>275</v>
      </c>
      <c r="C119" s="15" t="s">
        <v>366</v>
      </c>
      <c r="D119" s="15" t="s">
        <v>367</v>
      </c>
      <c r="E119" s="16" t="s">
        <v>13</v>
      </c>
      <c r="F119" s="17" t="s">
        <v>14</v>
      </c>
      <c r="G119" s="17" t="s">
        <v>15</v>
      </c>
      <c r="H119" s="17" t="s">
        <v>16</v>
      </c>
      <c r="I119" s="15" t="s">
        <v>368</v>
      </c>
    </row>
    <row r="120" ht="126" customHeight="1" spans="1:9">
      <c r="A120" s="13">
        <v>118</v>
      </c>
      <c r="B120" s="13" t="s">
        <v>275</v>
      </c>
      <c r="C120" s="15" t="s">
        <v>369</v>
      </c>
      <c r="D120" s="15" t="s">
        <v>370</v>
      </c>
      <c r="E120" s="16" t="s">
        <v>13</v>
      </c>
      <c r="F120" s="17" t="s">
        <v>14</v>
      </c>
      <c r="G120" s="17" t="s">
        <v>15</v>
      </c>
      <c r="H120" s="17" t="s">
        <v>16</v>
      </c>
      <c r="I120" s="15" t="s">
        <v>371</v>
      </c>
    </row>
    <row r="121" ht="126" customHeight="1" spans="1:9">
      <c r="A121" s="13">
        <v>119</v>
      </c>
      <c r="B121" s="13" t="s">
        <v>275</v>
      </c>
      <c r="C121" s="15" t="s">
        <v>372</v>
      </c>
      <c r="D121" s="15" t="s">
        <v>373</v>
      </c>
      <c r="E121" s="16" t="s">
        <v>13</v>
      </c>
      <c r="F121" s="17" t="s">
        <v>14</v>
      </c>
      <c r="G121" s="17" t="s">
        <v>15</v>
      </c>
      <c r="H121" s="17" t="s">
        <v>16</v>
      </c>
      <c r="I121" s="15" t="s">
        <v>374</v>
      </c>
    </row>
    <row r="122" ht="126" customHeight="1" spans="1:9">
      <c r="A122" s="13">
        <v>120</v>
      </c>
      <c r="B122" s="13" t="s">
        <v>275</v>
      </c>
      <c r="C122" s="15" t="s">
        <v>375</v>
      </c>
      <c r="D122" s="15" t="s">
        <v>376</v>
      </c>
      <c r="E122" s="16" t="s">
        <v>13</v>
      </c>
      <c r="F122" s="17" t="s">
        <v>14</v>
      </c>
      <c r="G122" s="17" t="s">
        <v>15</v>
      </c>
      <c r="H122" s="17" t="s">
        <v>16</v>
      </c>
      <c r="I122" s="15" t="s">
        <v>377</v>
      </c>
    </row>
    <row r="123" ht="126" customHeight="1" spans="1:9">
      <c r="A123" s="13">
        <v>121</v>
      </c>
      <c r="B123" s="13" t="s">
        <v>275</v>
      </c>
      <c r="C123" s="15" t="s">
        <v>378</v>
      </c>
      <c r="D123" s="15" t="s">
        <v>379</v>
      </c>
      <c r="E123" s="16" t="s">
        <v>13</v>
      </c>
      <c r="F123" s="17" t="s">
        <v>14</v>
      </c>
      <c r="G123" s="17" t="s">
        <v>15</v>
      </c>
      <c r="H123" s="17" t="s">
        <v>16</v>
      </c>
      <c r="I123" s="15" t="s">
        <v>380</v>
      </c>
    </row>
    <row r="124" ht="126" customHeight="1" spans="1:9">
      <c r="A124" s="13">
        <v>122</v>
      </c>
      <c r="B124" s="13" t="s">
        <v>275</v>
      </c>
      <c r="C124" s="15" t="s">
        <v>381</v>
      </c>
      <c r="D124" s="15" t="s">
        <v>382</v>
      </c>
      <c r="E124" s="16" t="s">
        <v>13</v>
      </c>
      <c r="F124" s="17" t="s">
        <v>14</v>
      </c>
      <c r="G124" s="17" t="s">
        <v>15</v>
      </c>
      <c r="H124" s="17" t="s">
        <v>16</v>
      </c>
      <c r="I124" s="15" t="s">
        <v>383</v>
      </c>
    </row>
    <row r="125" ht="126" customHeight="1" spans="1:9">
      <c r="A125" s="13">
        <v>123</v>
      </c>
      <c r="B125" s="13" t="s">
        <v>275</v>
      </c>
      <c r="C125" s="15" t="s">
        <v>384</v>
      </c>
      <c r="D125" s="15" t="s">
        <v>385</v>
      </c>
      <c r="E125" s="16" t="s">
        <v>13</v>
      </c>
      <c r="F125" s="17" t="s">
        <v>14</v>
      </c>
      <c r="G125" s="17" t="s">
        <v>15</v>
      </c>
      <c r="H125" s="17" t="s">
        <v>16</v>
      </c>
      <c r="I125" s="15" t="s">
        <v>386</v>
      </c>
    </row>
    <row r="126" ht="126" customHeight="1" spans="1:9">
      <c r="A126" s="13">
        <v>124</v>
      </c>
      <c r="B126" s="13" t="s">
        <v>275</v>
      </c>
      <c r="C126" s="15" t="s">
        <v>387</v>
      </c>
      <c r="D126" s="15" t="s">
        <v>388</v>
      </c>
      <c r="E126" s="16" t="s">
        <v>13</v>
      </c>
      <c r="F126" s="17" t="s">
        <v>14</v>
      </c>
      <c r="G126" s="17" t="s">
        <v>15</v>
      </c>
      <c r="H126" s="17" t="s">
        <v>16</v>
      </c>
      <c r="I126" s="15" t="s">
        <v>389</v>
      </c>
    </row>
    <row r="127" ht="126" customHeight="1" spans="1:9">
      <c r="A127" s="13">
        <v>125</v>
      </c>
      <c r="B127" s="13" t="s">
        <v>275</v>
      </c>
      <c r="C127" s="15" t="s">
        <v>390</v>
      </c>
      <c r="D127" s="15" t="s">
        <v>391</v>
      </c>
      <c r="E127" s="16" t="s">
        <v>13</v>
      </c>
      <c r="F127" s="17" t="s">
        <v>14</v>
      </c>
      <c r="G127" s="17" t="s">
        <v>15</v>
      </c>
      <c r="H127" s="17" t="s">
        <v>16</v>
      </c>
      <c r="I127" s="15" t="s">
        <v>392</v>
      </c>
    </row>
    <row r="128" ht="126" customHeight="1" spans="1:9">
      <c r="A128" s="13">
        <v>126</v>
      </c>
      <c r="B128" s="13" t="s">
        <v>275</v>
      </c>
      <c r="C128" s="15" t="s">
        <v>393</v>
      </c>
      <c r="D128" s="15" t="s">
        <v>394</v>
      </c>
      <c r="E128" s="16" t="s">
        <v>13</v>
      </c>
      <c r="F128" s="17" t="s">
        <v>14</v>
      </c>
      <c r="G128" s="17" t="s">
        <v>15</v>
      </c>
      <c r="H128" s="17" t="s">
        <v>16</v>
      </c>
      <c r="I128" s="15" t="s">
        <v>395</v>
      </c>
    </row>
    <row r="129" ht="126" customHeight="1" spans="1:9">
      <c r="A129" s="13">
        <v>127</v>
      </c>
      <c r="B129" s="13" t="s">
        <v>275</v>
      </c>
      <c r="C129" s="15" t="s">
        <v>396</v>
      </c>
      <c r="D129" s="15" t="s">
        <v>397</v>
      </c>
      <c r="E129" s="16" t="s">
        <v>13</v>
      </c>
      <c r="F129" s="17" t="s">
        <v>14</v>
      </c>
      <c r="G129" s="17" t="s">
        <v>15</v>
      </c>
      <c r="H129" s="17" t="s">
        <v>16</v>
      </c>
      <c r="I129" s="15" t="s">
        <v>398</v>
      </c>
    </row>
    <row r="130" ht="126" customHeight="1" spans="1:9">
      <c r="A130" s="13">
        <v>128</v>
      </c>
      <c r="B130" s="13" t="s">
        <v>275</v>
      </c>
      <c r="C130" s="15" t="s">
        <v>399</v>
      </c>
      <c r="D130" s="15" t="s">
        <v>400</v>
      </c>
      <c r="E130" s="16" t="s">
        <v>13</v>
      </c>
      <c r="F130" s="17" t="s">
        <v>14</v>
      </c>
      <c r="G130" s="17" t="s">
        <v>15</v>
      </c>
      <c r="H130" s="17" t="s">
        <v>16</v>
      </c>
      <c r="I130" s="15" t="s">
        <v>401</v>
      </c>
    </row>
    <row r="131" ht="126" customHeight="1" spans="1:9">
      <c r="A131" s="13">
        <v>129</v>
      </c>
      <c r="B131" s="13" t="s">
        <v>275</v>
      </c>
      <c r="C131" s="15" t="s">
        <v>402</v>
      </c>
      <c r="D131" s="15" t="s">
        <v>403</v>
      </c>
      <c r="E131" s="16" t="s">
        <v>13</v>
      </c>
      <c r="F131" s="17" t="s">
        <v>14</v>
      </c>
      <c r="G131" s="17" t="s">
        <v>15</v>
      </c>
      <c r="H131" s="17" t="s">
        <v>16</v>
      </c>
      <c r="I131" s="15" t="s">
        <v>404</v>
      </c>
    </row>
    <row r="132" ht="126" customHeight="1" spans="1:9">
      <c r="A132" s="13">
        <v>130</v>
      </c>
      <c r="B132" s="13" t="s">
        <v>275</v>
      </c>
      <c r="C132" s="15" t="s">
        <v>405</v>
      </c>
      <c r="D132" s="15" t="s">
        <v>406</v>
      </c>
      <c r="E132" s="16" t="s">
        <v>13</v>
      </c>
      <c r="F132" s="17" t="s">
        <v>14</v>
      </c>
      <c r="G132" s="17" t="s">
        <v>15</v>
      </c>
      <c r="H132" s="17" t="s">
        <v>16</v>
      </c>
      <c r="I132" s="15" t="s">
        <v>407</v>
      </c>
    </row>
    <row r="133" ht="126" customHeight="1" spans="1:9">
      <c r="A133" s="13">
        <v>131</v>
      </c>
      <c r="B133" s="13" t="s">
        <v>275</v>
      </c>
      <c r="C133" s="15" t="s">
        <v>408</v>
      </c>
      <c r="D133" s="15" t="s">
        <v>409</v>
      </c>
      <c r="E133" s="16" t="s">
        <v>13</v>
      </c>
      <c r="F133" s="17" t="s">
        <v>14</v>
      </c>
      <c r="G133" s="17" t="s">
        <v>15</v>
      </c>
      <c r="H133" s="17" t="s">
        <v>16</v>
      </c>
      <c r="I133" s="15" t="s">
        <v>410</v>
      </c>
    </row>
    <row r="134" ht="126" customHeight="1" spans="1:9">
      <c r="A134" s="13">
        <v>132</v>
      </c>
      <c r="B134" s="13" t="s">
        <v>275</v>
      </c>
      <c r="C134" s="15" t="s">
        <v>411</v>
      </c>
      <c r="D134" s="15" t="s">
        <v>412</v>
      </c>
      <c r="E134" s="16" t="s">
        <v>13</v>
      </c>
      <c r="F134" s="17" t="s">
        <v>14</v>
      </c>
      <c r="G134" s="17" t="s">
        <v>15</v>
      </c>
      <c r="H134" s="17" t="s">
        <v>16</v>
      </c>
      <c r="I134" s="15" t="s">
        <v>413</v>
      </c>
    </row>
    <row r="135" ht="126" customHeight="1" spans="1:9">
      <c r="A135" s="13">
        <v>133</v>
      </c>
      <c r="B135" s="13" t="s">
        <v>275</v>
      </c>
      <c r="C135" s="15" t="s">
        <v>414</v>
      </c>
      <c r="D135" s="15" t="s">
        <v>415</v>
      </c>
      <c r="E135" s="16" t="s">
        <v>13</v>
      </c>
      <c r="F135" s="17" t="s">
        <v>14</v>
      </c>
      <c r="G135" s="17" t="s">
        <v>15</v>
      </c>
      <c r="H135" s="17" t="s">
        <v>16</v>
      </c>
      <c r="I135" s="15" t="s">
        <v>416</v>
      </c>
    </row>
    <row r="136" ht="126" customHeight="1" spans="1:9">
      <c r="A136" s="13">
        <v>134</v>
      </c>
      <c r="B136" s="13" t="s">
        <v>275</v>
      </c>
      <c r="C136" s="15" t="s">
        <v>417</v>
      </c>
      <c r="D136" s="15" t="s">
        <v>418</v>
      </c>
      <c r="E136" s="16" t="s">
        <v>13</v>
      </c>
      <c r="F136" s="17" t="s">
        <v>14</v>
      </c>
      <c r="G136" s="17" t="s">
        <v>15</v>
      </c>
      <c r="H136" s="17" t="s">
        <v>16</v>
      </c>
      <c r="I136" s="15" t="s">
        <v>419</v>
      </c>
    </row>
    <row r="137" ht="126" customHeight="1" spans="1:9">
      <c r="A137" s="13">
        <v>135</v>
      </c>
      <c r="B137" s="13" t="s">
        <v>275</v>
      </c>
      <c r="C137" s="15" t="s">
        <v>420</v>
      </c>
      <c r="D137" s="15" t="s">
        <v>421</v>
      </c>
      <c r="E137" s="16" t="s">
        <v>13</v>
      </c>
      <c r="F137" s="17" t="s">
        <v>14</v>
      </c>
      <c r="G137" s="17" t="s">
        <v>15</v>
      </c>
      <c r="H137" s="17" t="s">
        <v>16</v>
      </c>
      <c r="I137" s="15" t="s">
        <v>422</v>
      </c>
    </row>
    <row r="138" ht="126" customHeight="1" spans="1:9">
      <c r="A138" s="13">
        <v>136</v>
      </c>
      <c r="B138" s="19" t="s">
        <v>423</v>
      </c>
      <c r="C138" s="15" t="s">
        <v>424</v>
      </c>
      <c r="D138" s="15" t="s">
        <v>425</v>
      </c>
      <c r="E138" s="16" t="s">
        <v>13</v>
      </c>
      <c r="F138" s="17" t="s">
        <v>14</v>
      </c>
      <c r="G138" s="17" t="s">
        <v>15</v>
      </c>
      <c r="H138" s="17" t="s">
        <v>16</v>
      </c>
      <c r="I138" s="15" t="s">
        <v>426</v>
      </c>
    </row>
    <row r="139" ht="126" customHeight="1" spans="1:9">
      <c r="A139" s="13">
        <v>137</v>
      </c>
      <c r="B139" s="19" t="s">
        <v>423</v>
      </c>
      <c r="C139" s="15" t="s">
        <v>427</v>
      </c>
      <c r="D139" s="15" t="s">
        <v>428</v>
      </c>
      <c r="E139" s="16" t="s">
        <v>13</v>
      </c>
      <c r="F139" s="17" t="s">
        <v>14</v>
      </c>
      <c r="G139" s="17" t="s">
        <v>15</v>
      </c>
      <c r="H139" s="17" t="s">
        <v>16</v>
      </c>
      <c r="I139" s="15" t="s">
        <v>429</v>
      </c>
    </row>
    <row r="140" ht="126" customHeight="1" spans="1:9">
      <c r="A140" s="13">
        <v>138</v>
      </c>
      <c r="B140" s="19" t="s">
        <v>423</v>
      </c>
      <c r="C140" s="15" t="s">
        <v>430</v>
      </c>
      <c r="D140" s="15" t="s">
        <v>431</v>
      </c>
      <c r="E140" s="16" t="s">
        <v>13</v>
      </c>
      <c r="F140" s="17" t="s">
        <v>14</v>
      </c>
      <c r="G140" s="17" t="s">
        <v>15</v>
      </c>
      <c r="H140" s="17" t="s">
        <v>16</v>
      </c>
      <c r="I140" s="15" t="s">
        <v>432</v>
      </c>
    </row>
    <row r="141" ht="126" customHeight="1" spans="1:9">
      <c r="A141" s="13">
        <v>139</v>
      </c>
      <c r="B141" s="19" t="s">
        <v>423</v>
      </c>
      <c r="C141" s="15" t="s">
        <v>433</v>
      </c>
      <c r="D141" s="15" t="s">
        <v>434</v>
      </c>
      <c r="E141" s="16" t="s">
        <v>13</v>
      </c>
      <c r="F141" s="17" t="s">
        <v>14</v>
      </c>
      <c r="G141" s="17" t="s">
        <v>15</v>
      </c>
      <c r="H141" s="17" t="s">
        <v>16</v>
      </c>
      <c r="I141" s="15" t="s">
        <v>435</v>
      </c>
    </row>
    <row r="142" ht="126" customHeight="1" spans="1:9">
      <c r="A142" s="13">
        <v>140</v>
      </c>
      <c r="B142" s="19" t="s">
        <v>423</v>
      </c>
      <c r="C142" s="15" t="s">
        <v>285</v>
      </c>
      <c r="D142" s="15" t="s">
        <v>286</v>
      </c>
      <c r="E142" s="16" t="s">
        <v>13</v>
      </c>
      <c r="F142" s="17" t="s">
        <v>14</v>
      </c>
      <c r="G142" s="17" t="s">
        <v>15</v>
      </c>
      <c r="H142" s="17" t="s">
        <v>16</v>
      </c>
      <c r="I142" s="15" t="s">
        <v>436</v>
      </c>
    </row>
    <row r="143" ht="126" customHeight="1" spans="1:9">
      <c r="A143" s="13">
        <v>141</v>
      </c>
      <c r="B143" s="19" t="s">
        <v>423</v>
      </c>
      <c r="C143" s="15" t="s">
        <v>288</v>
      </c>
      <c r="D143" s="15" t="s">
        <v>289</v>
      </c>
      <c r="E143" s="16" t="s">
        <v>13</v>
      </c>
      <c r="F143" s="17" t="s">
        <v>14</v>
      </c>
      <c r="G143" s="17" t="s">
        <v>15</v>
      </c>
      <c r="H143" s="17" t="s">
        <v>16</v>
      </c>
      <c r="I143" s="15" t="s">
        <v>437</v>
      </c>
    </row>
    <row r="144" ht="126" customHeight="1" spans="1:9">
      <c r="A144" s="13">
        <v>142</v>
      </c>
      <c r="B144" s="19" t="s">
        <v>423</v>
      </c>
      <c r="C144" s="15" t="s">
        <v>291</v>
      </c>
      <c r="D144" s="15" t="s">
        <v>292</v>
      </c>
      <c r="E144" s="16" t="s">
        <v>13</v>
      </c>
      <c r="F144" s="17" t="s">
        <v>14</v>
      </c>
      <c r="G144" s="17" t="s">
        <v>15</v>
      </c>
      <c r="H144" s="17" t="s">
        <v>16</v>
      </c>
      <c r="I144" s="15" t="s">
        <v>438</v>
      </c>
    </row>
    <row r="145" ht="126" customHeight="1" spans="1:9">
      <c r="A145" s="13">
        <v>143</v>
      </c>
      <c r="B145" s="19" t="s">
        <v>423</v>
      </c>
      <c r="C145" s="15" t="s">
        <v>294</v>
      </c>
      <c r="D145" s="15" t="s">
        <v>295</v>
      </c>
      <c r="E145" s="16" t="s">
        <v>13</v>
      </c>
      <c r="F145" s="17" t="s">
        <v>14</v>
      </c>
      <c r="G145" s="17" t="s">
        <v>15</v>
      </c>
      <c r="H145" s="17" t="s">
        <v>16</v>
      </c>
      <c r="I145" s="15" t="s">
        <v>439</v>
      </c>
    </row>
    <row r="146" ht="126" customHeight="1" spans="1:9">
      <c r="A146" s="13">
        <v>144</v>
      </c>
      <c r="B146" s="19" t="s">
        <v>423</v>
      </c>
      <c r="C146" s="15" t="s">
        <v>297</v>
      </c>
      <c r="D146" s="15" t="s">
        <v>298</v>
      </c>
      <c r="E146" s="16" t="s">
        <v>13</v>
      </c>
      <c r="F146" s="17" t="s">
        <v>14</v>
      </c>
      <c r="G146" s="17" t="s">
        <v>15</v>
      </c>
      <c r="H146" s="17" t="s">
        <v>16</v>
      </c>
      <c r="I146" s="15" t="s">
        <v>440</v>
      </c>
    </row>
    <row r="147" ht="126" customHeight="1" spans="1:9">
      <c r="A147" s="13">
        <v>145</v>
      </c>
      <c r="B147" s="19" t="s">
        <v>423</v>
      </c>
      <c r="C147" s="15" t="s">
        <v>300</v>
      </c>
      <c r="D147" s="15" t="s">
        <v>301</v>
      </c>
      <c r="E147" s="16" t="s">
        <v>13</v>
      </c>
      <c r="F147" s="17" t="s">
        <v>14</v>
      </c>
      <c r="G147" s="17" t="s">
        <v>15</v>
      </c>
      <c r="H147" s="17" t="s">
        <v>16</v>
      </c>
      <c r="I147" s="15" t="s">
        <v>441</v>
      </c>
    </row>
    <row r="148" ht="126" customHeight="1" spans="1:9">
      <c r="A148" s="13">
        <v>146</v>
      </c>
      <c r="B148" s="19" t="s">
        <v>423</v>
      </c>
      <c r="C148" s="15" t="s">
        <v>442</v>
      </c>
      <c r="D148" s="15" t="s">
        <v>443</v>
      </c>
      <c r="E148" s="16" t="s">
        <v>13</v>
      </c>
      <c r="F148" s="17" t="s">
        <v>14</v>
      </c>
      <c r="G148" s="17" t="s">
        <v>15</v>
      </c>
      <c r="H148" s="17" t="s">
        <v>16</v>
      </c>
      <c r="I148" s="15" t="s">
        <v>444</v>
      </c>
    </row>
    <row r="149" ht="126" customHeight="1" spans="1:9">
      <c r="A149" s="13">
        <v>147</v>
      </c>
      <c r="B149" s="19" t="s">
        <v>423</v>
      </c>
      <c r="C149" s="15" t="s">
        <v>445</v>
      </c>
      <c r="D149" s="15" t="s">
        <v>446</v>
      </c>
      <c r="E149" s="16" t="s">
        <v>13</v>
      </c>
      <c r="F149" s="17" t="s">
        <v>14</v>
      </c>
      <c r="G149" s="17" t="s">
        <v>15</v>
      </c>
      <c r="H149" s="17" t="s">
        <v>16</v>
      </c>
      <c r="I149" s="15" t="s">
        <v>447</v>
      </c>
    </row>
    <row r="150" ht="126" customHeight="1" spans="1:9">
      <c r="A150" s="13">
        <v>148</v>
      </c>
      <c r="B150" s="19" t="s">
        <v>423</v>
      </c>
      <c r="C150" s="15" t="s">
        <v>448</v>
      </c>
      <c r="D150" s="15" t="s">
        <v>449</v>
      </c>
      <c r="E150" s="20" t="s">
        <v>450</v>
      </c>
      <c r="F150" s="17" t="s">
        <v>14</v>
      </c>
      <c r="G150" s="17" t="s">
        <v>15</v>
      </c>
      <c r="H150" s="17" t="s">
        <v>16</v>
      </c>
      <c r="I150" s="15" t="s">
        <v>451</v>
      </c>
    </row>
    <row r="151" ht="126" customHeight="1" spans="1:9">
      <c r="A151" s="13">
        <v>149</v>
      </c>
      <c r="B151" s="19" t="s">
        <v>423</v>
      </c>
      <c r="C151" s="15" t="s">
        <v>452</v>
      </c>
      <c r="D151" s="15" t="s">
        <v>453</v>
      </c>
      <c r="E151" s="16" t="s">
        <v>13</v>
      </c>
      <c r="F151" s="17" t="s">
        <v>14</v>
      </c>
      <c r="G151" s="17" t="s">
        <v>15</v>
      </c>
      <c r="H151" s="17" t="s">
        <v>16</v>
      </c>
      <c r="I151" s="15" t="s">
        <v>454</v>
      </c>
    </row>
    <row r="152" ht="126" customHeight="1" spans="1:9">
      <c r="A152" s="13">
        <v>150</v>
      </c>
      <c r="B152" s="19" t="s">
        <v>423</v>
      </c>
      <c r="C152" s="15" t="s">
        <v>455</v>
      </c>
      <c r="D152" s="15" t="s">
        <v>456</v>
      </c>
      <c r="E152" s="16" t="s">
        <v>13</v>
      </c>
      <c r="F152" s="17" t="s">
        <v>14</v>
      </c>
      <c r="G152" s="17" t="s">
        <v>15</v>
      </c>
      <c r="H152" s="17" t="s">
        <v>16</v>
      </c>
      <c r="I152" s="15" t="s">
        <v>457</v>
      </c>
    </row>
    <row r="153" ht="126" customHeight="1" spans="1:9">
      <c r="A153" s="13">
        <v>151</v>
      </c>
      <c r="B153" s="19" t="s">
        <v>423</v>
      </c>
      <c r="C153" s="15" t="s">
        <v>309</v>
      </c>
      <c r="D153" s="15" t="s">
        <v>310</v>
      </c>
      <c r="E153" s="16" t="s">
        <v>13</v>
      </c>
      <c r="F153" s="17" t="s">
        <v>14</v>
      </c>
      <c r="G153" s="17" t="s">
        <v>15</v>
      </c>
      <c r="H153" s="17" t="s">
        <v>16</v>
      </c>
      <c r="I153" s="15" t="s">
        <v>458</v>
      </c>
    </row>
    <row r="154" ht="126" customHeight="1" spans="1:9">
      <c r="A154" s="13">
        <v>152</v>
      </c>
      <c r="B154" s="19" t="s">
        <v>423</v>
      </c>
      <c r="C154" s="15" t="s">
        <v>312</v>
      </c>
      <c r="D154" s="15" t="s">
        <v>313</v>
      </c>
      <c r="E154" s="16" t="s">
        <v>13</v>
      </c>
      <c r="F154" s="17" t="s">
        <v>14</v>
      </c>
      <c r="G154" s="17" t="s">
        <v>15</v>
      </c>
      <c r="H154" s="17" t="s">
        <v>16</v>
      </c>
      <c r="I154" s="15" t="s">
        <v>459</v>
      </c>
    </row>
    <row r="155" ht="126" customHeight="1" spans="1:9">
      <c r="A155" s="13">
        <v>153</v>
      </c>
      <c r="B155" s="19" t="s">
        <v>423</v>
      </c>
      <c r="C155" s="15" t="s">
        <v>315</v>
      </c>
      <c r="D155" s="15" t="s">
        <v>316</v>
      </c>
      <c r="E155" s="16" t="s">
        <v>13</v>
      </c>
      <c r="F155" s="17" t="s">
        <v>14</v>
      </c>
      <c r="G155" s="17" t="s">
        <v>15</v>
      </c>
      <c r="H155" s="17" t="s">
        <v>16</v>
      </c>
      <c r="I155" s="15" t="s">
        <v>460</v>
      </c>
    </row>
    <row r="156" ht="126" customHeight="1" spans="1:9">
      <c r="A156" s="13">
        <v>154</v>
      </c>
      <c r="B156" s="19" t="s">
        <v>423</v>
      </c>
      <c r="C156" s="15" t="s">
        <v>318</v>
      </c>
      <c r="D156" s="15" t="s">
        <v>319</v>
      </c>
      <c r="E156" s="16" t="s">
        <v>13</v>
      </c>
      <c r="F156" s="17" t="s">
        <v>14</v>
      </c>
      <c r="G156" s="17" t="s">
        <v>15</v>
      </c>
      <c r="H156" s="17" t="s">
        <v>16</v>
      </c>
      <c r="I156" s="15" t="s">
        <v>461</v>
      </c>
    </row>
    <row r="157" ht="126" customHeight="1" spans="1:9">
      <c r="A157" s="13">
        <v>155</v>
      </c>
      <c r="B157" s="19" t="s">
        <v>423</v>
      </c>
      <c r="C157" s="15" t="s">
        <v>321</v>
      </c>
      <c r="D157" s="15" t="s">
        <v>322</v>
      </c>
      <c r="E157" s="16" t="s">
        <v>13</v>
      </c>
      <c r="F157" s="17" t="s">
        <v>14</v>
      </c>
      <c r="G157" s="17" t="s">
        <v>15</v>
      </c>
      <c r="H157" s="17" t="s">
        <v>16</v>
      </c>
      <c r="I157" s="15" t="s">
        <v>462</v>
      </c>
    </row>
    <row r="158" ht="126" customHeight="1" spans="1:9">
      <c r="A158" s="13">
        <v>156</v>
      </c>
      <c r="B158" s="19" t="s">
        <v>423</v>
      </c>
      <c r="C158" s="15" t="s">
        <v>324</v>
      </c>
      <c r="D158" s="15" t="s">
        <v>325</v>
      </c>
      <c r="E158" s="16" t="s">
        <v>13</v>
      </c>
      <c r="F158" s="17" t="s">
        <v>14</v>
      </c>
      <c r="G158" s="17" t="s">
        <v>15</v>
      </c>
      <c r="H158" s="17" t="s">
        <v>16</v>
      </c>
      <c r="I158" s="15" t="s">
        <v>463</v>
      </c>
    </row>
    <row r="159" ht="126" customHeight="1" spans="1:9">
      <c r="A159" s="13">
        <v>157</v>
      </c>
      <c r="B159" s="19" t="s">
        <v>423</v>
      </c>
      <c r="C159" s="15" t="s">
        <v>464</v>
      </c>
      <c r="D159" s="15" t="s">
        <v>465</v>
      </c>
      <c r="E159" s="16" t="s">
        <v>13</v>
      </c>
      <c r="F159" s="17" t="s">
        <v>14</v>
      </c>
      <c r="G159" s="17" t="s">
        <v>15</v>
      </c>
      <c r="H159" s="17" t="s">
        <v>16</v>
      </c>
      <c r="I159" s="15" t="s">
        <v>466</v>
      </c>
    </row>
    <row r="160" ht="126" customHeight="1" spans="1:9">
      <c r="A160" s="13">
        <v>158</v>
      </c>
      <c r="B160" s="19" t="s">
        <v>423</v>
      </c>
      <c r="C160" s="15" t="s">
        <v>467</v>
      </c>
      <c r="D160" s="15" t="s">
        <v>468</v>
      </c>
      <c r="E160" s="16" t="s">
        <v>13</v>
      </c>
      <c r="F160" s="17" t="s">
        <v>14</v>
      </c>
      <c r="G160" s="17" t="s">
        <v>15</v>
      </c>
      <c r="H160" s="17" t="s">
        <v>16</v>
      </c>
      <c r="I160" s="15" t="s">
        <v>469</v>
      </c>
    </row>
    <row r="161" ht="126" customHeight="1" spans="1:9">
      <c r="A161" s="13">
        <v>159</v>
      </c>
      <c r="B161" s="19" t="s">
        <v>423</v>
      </c>
      <c r="C161" s="15" t="s">
        <v>470</v>
      </c>
      <c r="D161" s="15" t="s">
        <v>471</v>
      </c>
      <c r="E161" s="16" t="s">
        <v>13</v>
      </c>
      <c r="F161" s="17" t="s">
        <v>14</v>
      </c>
      <c r="G161" s="17" t="s">
        <v>15</v>
      </c>
      <c r="H161" s="17" t="s">
        <v>16</v>
      </c>
      <c r="I161" s="15" t="s">
        <v>472</v>
      </c>
    </row>
    <row r="162" ht="126" customHeight="1" spans="1:9">
      <c r="A162" s="13">
        <v>160</v>
      </c>
      <c r="B162" s="19" t="s">
        <v>423</v>
      </c>
      <c r="C162" s="15" t="s">
        <v>473</v>
      </c>
      <c r="D162" s="15" t="s">
        <v>474</v>
      </c>
      <c r="E162" s="16" t="s">
        <v>13</v>
      </c>
      <c r="F162" s="17" t="s">
        <v>14</v>
      </c>
      <c r="G162" s="17" t="s">
        <v>15</v>
      </c>
      <c r="H162" s="17" t="s">
        <v>16</v>
      </c>
      <c r="I162" s="15" t="s">
        <v>475</v>
      </c>
    </row>
    <row r="163" ht="126" customHeight="1" spans="1:9">
      <c r="A163" s="13">
        <v>161</v>
      </c>
      <c r="B163" s="19" t="s">
        <v>423</v>
      </c>
      <c r="C163" s="15" t="s">
        <v>476</v>
      </c>
      <c r="D163" s="15" t="s">
        <v>477</v>
      </c>
      <c r="E163" s="16" t="s">
        <v>13</v>
      </c>
      <c r="F163" s="17" t="s">
        <v>14</v>
      </c>
      <c r="G163" s="17" t="s">
        <v>15</v>
      </c>
      <c r="H163" s="17" t="s">
        <v>16</v>
      </c>
      <c r="I163" s="15" t="s">
        <v>478</v>
      </c>
    </row>
    <row r="164" ht="126" customHeight="1" spans="1:9">
      <c r="A164" s="13">
        <v>162</v>
      </c>
      <c r="B164" s="19" t="s">
        <v>423</v>
      </c>
      <c r="C164" s="15" t="s">
        <v>479</v>
      </c>
      <c r="D164" s="15" t="s">
        <v>480</v>
      </c>
      <c r="E164" s="16" t="s">
        <v>13</v>
      </c>
      <c r="F164" s="17" t="s">
        <v>14</v>
      </c>
      <c r="G164" s="17" t="s">
        <v>15</v>
      </c>
      <c r="H164" s="17" t="s">
        <v>16</v>
      </c>
      <c r="I164" s="15" t="s">
        <v>481</v>
      </c>
    </row>
    <row r="165" ht="126" customHeight="1" spans="1:9">
      <c r="A165" s="13">
        <v>163</v>
      </c>
      <c r="B165" s="19" t="s">
        <v>423</v>
      </c>
      <c r="C165" s="15" t="s">
        <v>482</v>
      </c>
      <c r="D165" s="15" t="s">
        <v>483</v>
      </c>
      <c r="E165" s="16" t="s">
        <v>13</v>
      </c>
      <c r="F165" s="17" t="s">
        <v>14</v>
      </c>
      <c r="G165" s="17" t="s">
        <v>15</v>
      </c>
      <c r="H165" s="17" t="s">
        <v>16</v>
      </c>
      <c r="I165" s="15" t="s">
        <v>484</v>
      </c>
    </row>
    <row r="166" ht="126" customHeight="1" spans="1:9">
      <c r="A166" s="13">
        <v>164</v>
      </c>
      <c r="B166" s="19" t="s">
        <v>423</v>
      </c>
      <c r="C166" s="15" t="s">
        <v>485</v>
      </c>
      <c r="D166" s="15" t="s">
        <v>486</v>
      </c>
      <c r="E166" s="16" t="s">
        <v>13</v>
      </c>
      <c r="F166" s="17" t="s">
        <v>14</v>
      </c>
      <c r="G166" s="17" t="s">
        <v>15</v>
      </c>
      <c r="H166" s="17" t="s">
        <v>16</v>
      </c>
      <c r="I166" s="15" t="s">
        <v>487</v>
      </c>
    </row>
    <row r="167" ht="126" customHeight="1" spans="1:9">
      <c r="A167" s="13">
        <v>165</v>
      </c>
      <c r="B167" s="19" t="s">
        <v>423</v>
      </c>
      <c r="C167" s="15" t="s">
        <v>488</v>
      </c>
      <c r="D167" s="15" t="s">
        <v>489</v>
      </c>
      <c r="E167" s="16" t="s">
        <v>13</v>
      </c>
      <c r="F167" s="17" t="s">
        <v>14</v>
      </c>
      <c r="G167" s="17" t="s">
        <v>15</v>
      </c>
      <c r="H167" s="17" t="s">
        <v>16</v>
      </c>
      <c r="I167" s="15" t="s">
        <v>490</v>
      </c>
    </row>
    <row r="168" ht="126" customHeight="1" spans="1:9">
      <c r="A168" s="13">
        <v>166</v>
      </c>
      <c r="B168" s="19" t="s">
        <v>423</v>
      </c>
      <c r="C168" s="15" t="s">
        <v>491</v>
      </c>
      <c r="D168" s="15" t="s">
        <v>492</v>
      </c>
      <c r="E168" s="16" t="s">
        <v>13</v>
      </c>
      <c r="F168" s="17" t="s">
        <v>14</v>
      </c>
      <c r="G168" s="17" t="s">
        <v>15</v>
      </c>
      <c r="H168" s="17" t="s">
        <v>16</v>
      </c>
      <c r="I168" s="15" t="s">
        <v>493</v>
      </c>
    </row>
    <row r="169" ht="126" customHeight="1" spans="1:9">
      <c r="A169" s="13">
        <v>167</v>
      </c>
      <c r="B169" s="19" t="s">
        <v>423</v>
      </c>
      <c r="C169" s="15" t="s">
        <v>494</v>
      </c>
      <c r="D169" s="15" t="s">
        <v>495</v>
      </c>
      <c r="E169" s="16" t="s">
        <v>13</v>
      </c>
      <c r="F169" s="17" t="s">
        <v>14</v>
      </c>
      <c r="G169" s="17" t="s">
        <v>15</v>
      </c>
      <c r="H169" s="17" t="s">
        <v>16</v>
      </c>
      <c r="I169" s="15" t="s">
        <v>496</v>
      </c>
    </row>
    <row r="170" ht="126" customHeight="1" spans="1:9">
      <c r="A170" s="13">
        <v>168</v>
      </c>
      <c r="B170" s="19" t="s">
        <v>423</v>
      </c>
      <c r="C170" s="15" t="s">
        <v>497</v>
      </c>
      <c r="D170" s="15" t="s">
        <v>498</v>
      </c>
      <c r="E170" s="16" t="s">
        <v>13</v>
      </c>
      <c r="F170" s="17" t="s">
        <v>14</v>
      </c>
      <c r="G170" s="17" t="s">
        <v>15</v>
      </c>
      <c r="H170" s="17" t="s">
        <v>16</v>
      </c>
      <c r="I170" s="15" t="s">
        <v>499</v>
      </c>
    </row>
    <row r="171" ht="126" customHeight="1" spans="1:9">
      <c r="A171" s="13">
        <v>169</v>
      </c>
      <c r="B171" s="19" t="s">
        <v>423</v>
      </c>
      <c r="C171" s="15" t="s">
        <v>500</v>
      </c>
      <c r="D171" s="15" t="s">
        <v>501</v>
      </c>
      <c r="E171" s="16" t="s">
        <v>13</v>
      </c>
      <c r="F171" s="17" t="s">
        <v>14</v>
      </c>
      <c r="G171" s="17" t="s">
        <v>15</v>
      </c>
      <c r="H171" s="17" t="s">
        <v>16</v>
      </c>
      <c r="I171" s="15" t="s">
        <v>502</v>
      </c>
    </row>
    <row r="172" ht="126" customHeight="1" spans="1:9">
      <c r="A172" s="13">
        <v>170</v>
      </c>
      <c r="B172" s="19" t="s">
        <v>423</v>
      </c>
      <c r="C172" s="15" t="s">
        <v>503</v>
      </c>
      <c r="D172" s="15" t="s">
        <v>504</v>
      </c>
      <c r="E172" s="16" t="s">
        <v>13</v>
      </c>
      <c r="F172" s="17" t="s">
        <v>14</v>
      </c>
      <c r="G172" s="17" t="s">
        <v>15</v>
      </c>
      <c r="H172" s="17" t="s">
        <v>16</v>
      </c>
      <c r="I172" s="15" t="s">
        <v>505</v>
      </c>
    </row>
    <row r="173" ht="126" customHeight="1" spans="1:9">
      <c r="A173" s="13">
        <v>171</v>
      </c>
      <c r="B173" s="19" t="s">
        <v>423</v>
      </c>
      <c r="C173" s="15" t="s">
        <v>506</v>
      </c>
      <c r="D173" s="15" t="s">
        <v>507</v>
      </c>
      <c r="E173" s="16" t="s">
        <v>13</v>
      </c>
      <c r="F173" s="17" t="s">
        <v>14</v>
      </c>
      <c r="G173" s="17" t="s">
        <v>15</v>
      </c>
      <c r="H173" s="17" t="s">
        <v>16</v>
      </c>
      <c r="I173" s="15" t="s">
        <v>508</v>
      </c>
    </row>
    <row r="174" ht="126" customHeight="1" spans="1:9">
      <c r="A174" s="13">
        <v>172</v>
      </c>
      <c r="B174" s="19" t="s">
        <v>423</v>
      </c>
      <c r="C174" s="15" t="s">
        <v>509</v>
      </c>
      <c r="D174" s="15" t="s">
        <v>510</v>
      </c>
      <c r="E174" s="16" t="s">
        <v>13</v>
      </c>
      <c r="F174" s="17" t="s">
        <v>14</v>
      </c>
      <c r="G174" s="17" t="s">
        <v>15</v>
      </c>
      <c r="H174" s="17" t="s">
        <v>16</v>
      </c>
      <c r="I174" s="15" t="s">
        <v>511</v>
      </c>
    </row>
    <row r="175" ht="126" customHeight="1" spans="1:9">
      <c r="A175" s="13">
        <v>173</v>
      </c>
      <c r="B175" s="19" t="s">
        <v>423</v>
      </c>
      <c r="C175" s="15" t="s">
        <v>512</v>
      </c>
      <c r="D175" s="15" t="s">
        <v>513</v>
      </c>
      <c r="E175" s="16" t="s">
        <v>13</v>
      </c>
      <c r="F175" s="17" t="s">
        <v>14</v>
      </c>
      <c r="G175" s="17" t="s">
        <v>15</v>
      </c>
      <c r="H175" s="17" t="s">
        <v>16</v>
      </c>
      <c r="I175" s="15" t="s">
        <v>514</v>
      </c>
    </row>
    <row r="176" ht="126" customHeight="1" spans="1:9">
      <c r="A176" s="13">
        <v>174</v>
      </c>
      <c r="B176" s="19" t="s">
        <v>423</v>
      </c>
      <c r="C176" s="15" t="s">
        <v>515</v>
      </c>
      <c r="D176" s="15" t="s">
        <v>516</v>
      </c>
      <c r="E176" s="16" t="s">
        <v>13</v>
      </c>
      <c r="F176" s="17" t="s">
        <v>14</v>
      </c>
      <c r="G176" s="17" t="s">
        <v>15</v>
      </c>
      <c r="H176" s="17" t="s">
        <v>16</v>
      </c>
      <c r="I176" s="15" t="s">
        <v>517</v>
      </c>
    </row>
    <row r="177" ht="126" customHeight="1" spans="1:9">
      <c r="A177" s="13">
        <v>175</v>
      </c>
      <c r="B177" s="19" t="s">
        <v>423</v>
      </c>
      <c r="C177" s="15" t="s">
        <v>518</v>
      </c>
      <c r="D177" s="15" t="s">
        <v>519</v>
      </c>
      <c r="E177" s="16" t="s">
        <v>13</v>
      </c>
      <c r="F177" s="17" t="s">
        <v>14</v>
      </c>
      <c r="G177" s="17" t="s">
        <v>15</v>
      </c>
      <c r="H177" s="17" t="s">
        <v>16</v>
      </c>
      <c r="I177" s="15" t="s">
        <v>520</v>
      </c>
    </row>
    <row r="178" ht="126" customHeight="1" spans="1:9">
      <c r="A178" s="13">
        <v>176</v>
      </c>
      <c r="B178" s="19" t="s">
        <v>423</v>
      </c>
      <c r="C178" s="15" t="s">
        <v>521</v>
      </c>
      <c r="D178" s="15" t="s">
        <v>522</v>
      </c>
      <c r="E178" s="16" t="s">
        <v>13</v>
      </c>
      <c r="F178" s="17" t="s">
        <v>14</v>
      </c>
      <c r="G178" s="17" t="s">
        <v>15</v>
      </c>
      <c r="H178" s="17" t="s">
        <v>16</v>
      </c>
      <c r="I178" s="15" t="s">
        <v>523</v>
      </c>
    </row>
    <row r="179" ht="126" customHeight="1" spans="1:9">
      <c r="A179" s="13">
        <v>177</v>
      </c>
      <c r="B179" s="19" t="s">
        <v>423</v>
      </c>
      <c r="C179" s="15" t="s">
        <v>524</v>
      </c>
      <c r="D179" s="15" t="s">
        <v>525</v>
      </c>
      <c r="E179" s="16" t="s">
        <v>13</v>
      </c>
      <c r="F179" s="17" t="s">
        <v>14</v>
      </c>
      <c r="G179" s="17" t="s">
        <v>15</v>
      </c>
      <c r="H179" s="17" t="s">
        <v>16</v>
      </c>
      <c r="I179" s="15" t="s">
        <v>526</v>
      </c>
    </row>
    <row r="180" ht="126" customHeight="1" spans="1:9">
      <c r="A180" s="13">
        <v>178</v>
      </c>
      <c r="B180" s="19" t="s">
        <v>423</v>
      </c>
      <c r="C180" s="15" t="s">
        <v>330</v>
      </c>
      <c r="D180" s="15" t="s">
        <v>331</v>
      </c>
      <c r="E180" s="16" t="s">
        <v>13</v>
      </c>
      <c r="F180" s="17" t="s">
        <v>14</v>
      </c>
      <c r="G180" s="17" t="s">
        <v>15</v>
      </c>
      <c r="H180" s="17" t="s">
        <v>16</v>
      </c>
      <c r="I180" s="15" t="s">
        <v>527</v>
      </c>
    </row>
    <row r="181" ht="126" customHeight="1" spans="1:9">
      <c r="A181" s="13">
        <v>179</v>
      </c>
      <c r="B181" s="19" t="s">
        <v>423</v>
      </c>
      <c r="C181" s="15" t="s">
        <v>333</v>
      </c>
      <c r="D181" s="15" t="s">
        <v>334</v>
      </c>
      <c r="E181" s="16" t="s">
        <v>13</v>
      </c>
      <c r="F181" s="17" t="s">
        <v>14</v>
      </c>
      <c r="G181" s="17" t="s">
        <v>15</v>
      </c>
      <c r="H181" s="17" t="s">
        <v>16</v>
      </c>
      <c r="I181" s="15" t="s">
        <v>528</v>
      </c>
    </row>
    <row r="182" ht="126" customHeight="1" spans="1:9">
      <c r="A182" s="13">
        <v>180</v>
      </c>
      <c r="B182" s="19" t="s">
        <v>423</v>
      </c>
      <c r="C182" s="15" t="s">
        <v>336</v>
      </c>
      <c r="D182" s="15" t="s">
        <v>337</v>
      </c>
      <c r="E182" s="16" t="s">
        <v>13</v>
      </c>
      <c r="F182" s="17" t="s">
        <v>14</v>
      </c>
      <c r="G182" s="17" t="s">
        <v>15</v>
      </c>
      <c r="H182" s="17" t="s">
        <v>16</v>
      </c>
      <c r="I182" s="15" t="s">
        <v>529</v>
      </c>
    </row>
    <row r="183" ht="126" customHeight="1" spans="1:9">
      <c r="A183" s="13">
        <v>181</v>
      </c>
      <c r="B183" s="19" t="s">
        <v>423</v>
      </c>
      <c r="C183" s="15" t="s">
        <v>339</v>
      </c>
      <c r="D183" s="15" t="s">
        <v>340</v>
      </c>
      <c r="E183" s="16" t="s">
        <v>13</v>
      </c>
      <c r="F183" s="17" t="s">
        <v>14</v>
      </c>
      <c r="G183" s="17" t="s">
        <v>15</v>
      </c>
      <c r="H183" s="17" t="s">
        <v>16</v>
      </c>
      <c r="I183" s="15" t="s">
        <v>530</v>
      </c>
    </row>
    <row r="184" ht="126" customHeight="1" spans="1:9">
      <c r="A184" s="13">
        <v>182</v>
      </c>
      <c r="B184" s="19" t="s">
        <v>423</v>
      </c>
      <c r="C184" s="15" t="s">
        <v>342</v>
      </c>
      <c r="D184" s="15" t="s">
        <v>343</v>
      </c>
      <c r="E184" s="16" t="s">
        <v>13</v>
      </c>
      <c r="F184" s="17" t="s">
        <v>14</v>
      </c>
      <c r="G184" s="17" t="s">
        <v>15</v>
      </c>
      <c r="H184" s="17" t="s">
        <v>16</v>
      </c>
      <c r="I184" s="15" t="s">
        <v>531</v>
      </c>
    </row>
    <row r="185" ht="126" customHeight="1" spans="1:9">
      <c r="A185" s="13">
        <v>183</v>
      </c>
      <c r="B185" s="19" t="s">
        <v>423</v>
      </c>
      <c r="C185" s="15" t="s">
        <v>345</v>
      </c>
      <c r="D185" s="15" t="s">
        <v>346</v>
      </c>
      <c r="E185" s="16" t="s">
        <v>13</v>
      </c>
      <c r="F185" s="17" t="s">
        <v>14</v>
      </c>
      <c r="G185" s="17" t="s">
        <v>15</v>
      </c>
      <c r="H185" s="17" t="s">
        <v>16</v>
      </c>
      <c r="I185" s="15" t="s">
        <v>532</v>
      </c>
    </row>
    <row r="186" ht="126" customHeight="1" spans="1:9">
      <c r="A186" s="13">
        <v>184</v>
      </c>
      <c r="B186" s="19" t="s">
        <v>423</v>
      </c>
      <c r="C186" s="15" t="s">
        <v>348</v>
      </c>
      <c r="D186" s="15" t="s">
        <v>349</v>
      </c>
      <c r="E186" s="16" t="s">
        <v>13</v>
      </c>
      <c r="F186" s="17" t="s">
        <v>14</v>
      </c>
      <c r="G186" s="17" t="s">
        <v>15</v>
      </c>
      <c r="H186" s="17" t="s">
        <v>16</v>
      </c>
      <c r="I186" s="15" t="s">
        <v>533</v>
      </c>
    </row>
    <row r="187" ht="126" customHeight="1" spans="1:9">
      <c r="A187" s="13">
        <v>185</v>
      </c>
      <c r="B187" s="19" t="s">
        <v>423</v>
      </c>
      <c r="C187" s="15" t="s">
        <v>534</v>
      </c>
      <c r="D187" s="15" t="s">
        <v>535</v>
      </c>
      <c r="E187" s="16" t="s">
        <v>13</v>
      </c>
      <c r="F187" s="17" t="s">
        <v>14</v>
      </c>
      <c r="G187" s="17" t="s">
        <v>15</v>
      </c>
      <c r="H187" s="17" t="s">
        <v>16</v>
      </c>
      <c r="I187" s="15" t="s">
        <v>536</v>
      </c>
    </row>
    <row r="188" ht="126" customHeight="1" spans="1:9">
      <c r="A188" s="13">
        <v>186</v>
      </c>
      <c r="B188" s="19" t="s">
        <v>423</v>
      </c>
      <c r="C188" s="15" t="s">
        <v>354</v>
      </c>
      <c r="D188" s="15" t="s">
        <v>355</v>
      </c>
      <c r="E188" s="16" t="s">
        <v>13</v>
      </c>
      <c r="F188" s="17" t="s">
        <v>14</v>
      </c>
      <c r="G188" s="17" t="s">
        <v>15</v>
      </c>
      <c r="H188" s="17" t="s">
        <v>16</v>
      </c>
      <c r="I188" s="15" t="s">
        <v>537</v>
      </c>
    </row>
    <row r="189" ht="126" customHeight="1" spans="1:9">
      <c r="A189" s="13">
        <v>187</v>
      </c>
      <c r="B189" s="19" t="s">
        <v>423</v>
      </c>
      <c r="C189" s="15" t="s">
        <v>357</v>
      </c>
      <c r="D189" s="15" t="s">
        <v>358</v>
      </c>
      <c r="E189" s="16" t="s">
        <v>13</v>
      </c>
      <c r="F189" s="17" t="s">
        <v>14</v>
      </c>
      <c r="G189" s="17" t="s">
        <v>15</v>
      </c>
      <c r="H189" s="17" t="s">
        <v>16</v>
      </c>
      <c r="I189" s="15" t="s">
        <v>538</v>
      </c>
    </row>
    <row r="190" ht="126" customHeight="1" spans="1:9">
      <c r="A190" s="13">
        <v>188</v>
      </c>
      <c r="B190" s="19" t="s">
        <v>423</v>
      </c>
      <c r="C190" s="15" t="s">
        <v>360</v>
      </c>
      <c r="D190" s="15" t="s">
        <v>361</v>
      </c>
      <c r="E190" s="16" t="s">
        <v>13</v>
      </c>
      <c r="F190" s="17" t="s">
        <v>14</v>
      </c>
      <c r="G190" s="17" t="s">
        <v>15</v>
      </c>
      <c r="H190" s="17" t="s">
        <v>16</v>
      </c>
      <c r="I190" s="15" t="s">
        <v>539</v>
      </c>
    </row>
    <row r="191" ht="126" customHeight="1" spans="1:9">
      <c r="A191" s="13">
        <v>189</v>
      </c>
      <c r="B191" s="19" t="s">
        <v>423</v>
      </c>
      <c r="C191" s="15" t="s">
        <v>363</v>
      </c>
      <c r="D191" s="15" t="s">
        <v>364</v>
      </c>
      <c r="E191" s="16" t="s">
        <v>13</v>
      </c>
      <c r="F191" s="17" t="s">
        <v>14</v>
      </c>
      <c r="G191" s="17" t="s">
        <v>15</v>
      </c>
      <c r="H191" s="17" t="s">
        <v>16</v>
      </c>
      <c r="I191" s="15" t="s">
        <v>540</v>
      </c>
    </row>
    <row r="192" ht="126" customHeight="1" spans="1:9">
      <c r="A192" s="13">
        <v>190</v>
      </c>
      <c r="B192" s="19" t="s">
        <v>423</v>
      </c>
      <c r="C192" s="15" t="s">
        <v>366</v>
      </c>
      <c r="D192" s="15" t="s">
        <v>367</v>
      </c>
      <c r="E192" s="16" t="s">
        <v>13</v>
      </c>
      <c r="F192" s="17" t="s">
        <v>14</v>
      </c>
      <c r="G192" s="17" t="s">
        <v>15</v>
      </c>
      <c r="H192" s="17" t="s">
        <v>16</v>
      </c>
      <c r="I192" s="15" t="s">
        <v>541</v>
      </c>
    </row>
    <row r="193" ht="126" customHeight="1" spans="1:9">
      <c r="A193" s="13">
        <v>191</v>
      </c>
      <c r="B193" s="19" t="s">
        <v>423</v>
      </c>
      <c r="C193" s="15" t="s">
        <v>542</v>
      </c>
      <c r="D193" s="15" t="s">
        <v>543</v>
      </c>
      <c r="E193" s="16" t="s">
        <v>13</v>
      </c>
      <c r="F193" s="17" t="s">
        <v>14</v>
      </c>
      <c r="G193" s="17" t="s">
        <v>15</v>
      </c>
      <c r="H193" s="17" t="s">
        <v>16</v>
      </c>
      <c r="I193" s="15" t="s">
        <v>544</v>
      </c>
    </row>
    <row r="194" ht="126" customHeight="1" spans="1:9">
      <c r="A194" s="13">
        <v>192</v>
      </c>
      <c r="B194" s="19" t="s">
        <v>423</v>
      </c>
      <c r="C194" s="15" t="s">
        <v>545</v>
      </c>
      <c r="D194" s="15" t="s">
        <v>546</v>
      </c>
      <c r="E194" s="16" t="s">
        <v>13</v>
      </c>
      <c r="F194" s="17" t="s">
        <v>14</v>
      </c>
      <c r="G194" s="17" t="s">
        <v>15</v>
      </c>
      <c r="H194" s="17" t="s">
        <v>16</v>
      </c>
      <c r="I194" s="15" t="s">
        <v>547</v>
      </c>
    </row>
    <row r="195" ht="126" customHeight="1" spans="1:9">
      <c r="A195" s="13">
        <v>193</v>
      </c>
      <c r="B195" s="19" t="s">
        <v>423</v>
      </c>
      <c r="C195" s="15" t="s">
        <v>548</v>
      </c>
      <c r="D195" s="15" t="s">
        <v>549</v>
      </c>
      <c r="E195" s="16" t="s">
        <v>13</v>
      </c>
      <c r="F195" s="17" t="s">
        <v>14</v>
      </c>
      <c r="G195" s="17" t="s">
        <v>15</v>
      </c>
      <c r="H195" s="17" t="s">
        <v>16</v>
      </c>
      <c r="I195" s="15" t="s">
        <v>550</v>
      </c>
    </row>
    <row r="196" ht="126" customHeight="1" spans="1:9">
      <c r="A196" s="13">
        <v>194</v>
      </c>
      <c r="B196" s="19" t="s">
        <v>423</v>
      </c>
      <c r="C196" s="15" t="s">
        <v>551</v>
      </c>
      <c r="D196" s="15" t="s">
        <v>552</v>
      </c>
      <c r="E196" s="16" t="s">
        <v>13</v>
      </c>
      <c r="F196" s="17" t="s">
        <v>14</v>
      </c>
      <c r="G196" s="17" t="s">
        <v>15</v>
      </c>
      <c r="H196" s="17" t="s">
        <v>16</v>
      </c>
      <c r="I196" s="15" t="s">
        <v>553</v>
      </c>
    </row>
    <row r="197" ht="126" customHeight="1" spans="1:9">
      <c r="A197" s="13">
        <v>195</v>
      </c>
      <c r="B197" s="19" t="s">
        <v>423</v>
      </c>
      <c r="C197" s="15" t="s">
        <v>554</v>
      </c>
      <c r="D197" s="15" t="s">
        <v>555</v>
      </c>
      <c r="E197" s="16" t="s">
        <v>13</v>
      </c>
      <c r="F197" s="17" t="s">
        <v>14</v>
      </c>
      <c r="G197" s="17" t="s">
        <v>15</v>
      </c>
      <c r="H197" s="17" t="s">
        <v>16</v>
      </c>
      <c r="I197" s="15" t="s">
        <v>556</v>
      </c>
    </row>
    <row r="198" ht="126" customHeight="1" spans="1:9">
      <c r="A198" s="13">
        <v>196</v>
      </c>
      <c r="B198" s="19" t="s">
        <v>423</v>
      </c>
      <c r="C198" s="15" t="s">
        <v>557</v>
      </c>
      <c r="D198" s="15" t="s">
        <v>558</v>
      </c>
      <c r="E198" s="16" t="s">
        <v>13</v>
      </c>
      <c r="F198" s="17" t="s">
        <v>14</v>
      </c>
      <c r="G198" s="17" t="s">
        <v>15</v>
      </c>
      <c r="H198" s="17" t="s">
        <v>16</v>
      </c>
      <c r="I198" s="15" t="s">
        <v>559</v>
      </c>
    </row>
    <row r="199" ht="126" customHeight="1" spans="1:9">
      <c r="A199" s="13">
        <v>197</v>
      </c>
      <c r="B199" s="19" t="s">
        <v>423</v>
      </c>
      <c r="C199" s="15" t="s">
        <v>560</v>
      </c>
      <c r="D199" s="15" t="s">
        <v>561</v>
      </c>
      <c r="E199" s="16" t="s">
        <v>13</v>
      </c>
      <c r="F199" s="17" t="s">
        <v>14</v>
      </c>
      <c r="G199" s="17" t="s">
        <v>15</v>
      </c>
      <c r="H199" s="17" t="s">
        <v>16</v>
      </c>
      <c r="I199" s="15" t="s">
        <v>562</v>
      </c>
    </row>
    <row r="200" ht="126" customHeight="1" spans="1:9">
      <c r="A200" s="13">
        <v>198</v>
      </c>
      <c r="B200" s="19" t="s">
        <v>423</v>
      </c>
      <c r="C200" s="15" t="s">
        <v>563</v>
      </c>
      <c r="D200" s="15" t="s">
        <v>564</v>
      </c>
      <c r="E200" s="16" t="s">
        <v>13</v>
      </c>
      <c r="F200" s="17" t="s">
        <v>14</v>
      </c>
      <c r="G200" s="17" t="s">
        <v>15</v>
      </c>
      <c r="H200" s="17" t="s">
        <v>16</v>
      </c>
      <c r="I200" s="15" t="s">
        <v>565</v>
      </c>
    </row>
    <row r="201" ht="126" customHeight="1" spans="1:9">
      <c r="A201" s="13">
        <v>199</v>
      </c>
      <c r="B201" s="19" t="s">
        <v>423</v>
      </c>
      <c r="C201" s="15" t="s">
        <v>566</v>
      </c>
      <c r="D201" s="15" t="s">
        <v>567</v>
      </c>
      <c r="E201" s="16" t="s">
        <v>13</v>
      </c>
      <c r="F201" s="17" t="s">
        <v>14</v>
      </c>
      <c r="G201" s="17" t="s">
        <v>15</v>
      </c>
      <c r="H201" s="17" t="s">
        <v>16</v>
      </c>
      <c r="I201" s="15" t="s">
        <v>568</v>
      </c>
    </row>
    <row r="202" ht="126" customHeight="1" spans="1:9">
      <c r="A202" s="13">
        <v>200</v>
      </c>
      <c r="B202" s="19" t="s">
        <v>423</v>
      </c>
      <c r="C202" s="15" t="s">
        <v>569</v>
      </c>
      <c r="D202" s="15" t="s">
        <v>570</v>
      </c>
      <c r="E202" s="16" t="s">
        <v>13</v>
      </c>
      <c r="F202" s="17" t="s">
        <v>14</v>
      </c>
      <c r="G202" s="17" t="s">
        <v>15</v>
      </c>
      <c r="H202" s="17" t="s">
        <v>16</v>
      </c>
      <c r="I202" s="15" t="s">
        <v>571</v>
      </c>
    </row>
    <row r="203" ht="126" customHeight="1" spans="1:9">
      <c r="A203" s="13">
        <v>201</v>
      </c>
      <c r="B203" s="19" t="s">
        <v>423</v>
      </c>
      <c r="C203" s="15" t="s">
        <v>572</v>
      </c>
      <c r="D203" s="15" t="s">
        <v>573</v>
      </c>
      <c r="E203" s="16" t="s">
        <v>13</v>
      </c>
      <c r="F203" s="17" t="s">
        <v>14</v>
      </c>
      <c r="G203" s="17" t="s">
        <v>15</v>
      </c>
      <c r="H203" s="17" t="s">
        <v>16</v>
      </c>
      <c r="I203" s="15" t="s">
        <v>574</v>
      </c>
    </row>
    <row r="204" ht="126" customHeight="1" spans="1:9">
      <c r="A204" s="13">
        <v>202</v>
      </c>
      <c r="B204" s="19" t="s">
        <v>423</v>
      </c>
      <c r="C204" s="15" t="s">
        <v>575</v>
      </c>
      <c r="D204" s="15" t="s">
        <v>576</v>
      </c>
      <c r="E204" s="16" t="s">
        <v>13</v>
      </c>
      <c r="F204" s="17" t="s">
        <v>14</v>
      </c>
      <c r="G204" s="17" t="s">
        <v>15</v>
      </c>
      <c r="H204" s="17" t="s">
        <v>16</v>
      </c>
      <c r="I204" s="15" t="s">
        <v>577</v>
      </c>
    </row>
    <row r="205" ht="126" customHeight="1" spans="1:9">
      <c r="A205" s="13">
        <v>203</v>
      </c>
      <c r="B205" s="19" t="s">
        <v>423</v>
      </c>
      <c r="C205" s="15" t="s">
        <v>578</v>
      </c>
      <c r="D205" s="15" t="s">
        <v>579</v>
      </c>
      <c r="E205" s="16" t="s">
        <v>13</v>
      </c>
      <c r="F205" s="17" t="s">
        <v>14</v>
      </c>
      <c r="G205" s="17" t="s">
        <v>15</v>
      </c>
      <c r="H205" s="17" t="s">
        <v>16</v>
      </c>
      <c r="I205" s="15" t="s">
        <v>580</v>
      </c>
    </row>
    <row r="206" ht="126" customHeight="1" spans="1:9">
      <c r="A206" s="13">
        <v>204</v>
      </c>
      <c r="B206" s="19" t="s">
        <v>423</v>
      </c>
      <c r="C206" s="15" t="s">
        <v>581</v>
      </c>
      <c r="D206" s="15" t="s">
        <v>582</v>
      </c>
      <c r="E206" s="16" t="s">
        <v>13</v>
      </c>
      <c r="F206" s="17" t="s">
        <v>14</v>
      </c>
      <c r="G206" s="17" t="s">
        <v>15</v>
      </c>
      <c r="H206" s="17" t="s">
        <v>16</v>
      </c>
      <c r="I206" s="15" t="s">
        <v>583</v>
      </c>
    </row>
    <row r="207" ht="126" customHeight="1" spans="1:9">
      <c r="A207" s="13">
        <v>205</v>
      </c>
      <c r="B207" s="19" t="s">
        <v>423</v>
      </c>
      <c r="C207" s="15" t="s">
        <v>584</v>
      </c>
      <c r="D207" s="15" t="s">
        <v>585</v>
      </c>
      <c r="E207" s="16" t="s">
        <v>13</v>
      </c>
      <c r="F207" s="17" t="s">
        <v>14</v>
      </c>
      <c r="G207" s="17" t="s">
        <v>15</v>
      </c>
      <c r="H207" s="17" t="s">
        <v>16</v>
      </c>
      <c r="I207" s="15" t="s">
        <v>586</v>
      </c>
    </row>
    <row r="208" ht="126" customHeight="1" spans="1:9">
      <c r="A208" s="13">
        <v>206</v>
      </c>
      <c r="B208" s="19" t="s">
        <v>423</v>
      </c>
      <c r="C208" s="15" t="s">
        <v>587</v>
      </c>
      <c r="D208" s="15" t="s">
        <v>588</v>
      </c>
      <c r="E208" s="16" t="s">
        <v>13</v>
      </c>
      <c r="F208" s="17" t="s">
        <v>14</v>
      </c>
      <c r="G208" s="17" t="s">
        <v>15</v>
      </c>
      <c r="H208" s="17" t="s">
        <v>16</v>
      </c>
      <c r="I208" s="15" t="s">
        <v>589</v>
      </c>
    </row>
    <row r="209" ht="126" customHeight="1" spans="1:9">
      <c r="A209" s="13">
        <v>207</v>
      </c>
      <c r="B209" s="19" t="s">
        <v>423</v>
      </c>
      <c r="C209" s="15" t="s">
        <v>590</v>
      </c>
      <c r="D209" s="15" t="s">
        <v>591</v>
      </c>
      <c r="E209" s="16" t="s">
        <v>13</v>
      </c>
      <c r="F209" s="17" t="s">
        <v>14</v>
      </c>
      <c r="G209" s="17" t="s">
        <v>15</v>
      </c>
      <c r="H209" s="17" t="s">
        <v>16</v>
      </c>
      <c r="I209" s="15" t="s">
        <v>592</v>
      </c>
    </row>
    <row r="210" ht="126" customHeight="1" spans="1:9">
      <c r="A210" s="13">
        <v>208</v>
      </c>
      <c r="B210" s="19" t="s">
        <v>423</v>
      </c>
      <c r="C210" s="15" t="s">
        <v>593</v>
      </c>
      <c r="D210" s="15" t="s">
        <v>594</v>
      </c>
      <c r="E210" s="16" t="s">
        <v>13</v>
      </c>
      <c r="F210" s="17" t="s">
        <v>14</v>
      </c>
      <c r="G210" s="17" t="s">
        <v>15</v>
      </c>
      <c r="H210" s="17" t="s">
        <v>16</v>
      </c>
      <c r="I210" s="15" t="s">
        <v>595</v>
      </c>
    </row>
    <row r="211" ht="126" customHeight="1" spans="1:9">
      <c r="A211" s="13">
        <v>209</v>
      </c>
      <c r="B211" s="19" t="s">
        <v>423</v>
      </c>
      <c r="C211" s="15" t="s">
        <v>596</v>
      </c>
      <c r="D211" s="15" t="s">
        <v>597</v>
      </c>
      <c r="E211" s="16" t="s">
        <v>13</v>
      </c>
      <c r="F211" s="17" t="s">
        <v>14</v>
      </c>
      <c r="G211" s="17" t="s">
        <v>15</v>
      </c>
      <c r="H211" s="17" t="s">
        <v>16</v>
      </c>
      <c r="I211" s="15" t="s">
        <v>598</v>
      </c>
    </row>
    <row r="212" ht="126" customHeight="1" spans="1:9">
      <c r="A212" s="13">
        <v>210</v>
      </c>
      <c r="B212" s="19" t="s">
        <v>423</v>
      </c>
      <c r="C212" s="15" t="s">
        <v>599</v>
      </c>
      <c r="D212" s="15" t="s">
        <v>600</v>
      </c>
      <c r="E212" s="16" t="s">
        <v>13</v>
      </c>
      <c r="F212" s="17" t="s">
        <v>14</v>
      </c>
      <c r="G212" s="17" t="s">
        <v>15</v>
      </c>
      <c r="H212" s="17" t="s">
        <v>16</v>
      </c>
      <c r="I212" s="15" t="s">
        <v>601</v>
      </c>
    </row>
    <row r="213" ht="126" customHeight="1" spans="1:9">
      <c r="A213" s="13">
        <v>211</v>
      </c>
      <c r="B213" s="19" t="s">
        <v>423</v>
      </c>
      <c r="C213" s="15" t="s">
        <v>602</v>
      </c>
      <c r="D213" s="15" t="s">
        <v>603</v>
      </c>
      <c r="E213" s="16" t="s">
        <v>13</v>
      </c>
      <c r="F213" s="17" t="s">
        <v>14</v>
      </c>
      <c r="G213" s="17" t="s">
        <v>15</v>
      </c>
      <c r="H213" s="17" t="s">
        <v>16</v>
      </c>
      <c r="I213" s="15" t="s">
        <v>604</v>
      </c>
    </row>
    <row r="214" ht="126" customHeight="1" spans="1:9">
      <c r="A214" s="13">
        <v>212</v>
      </c>
      <c r="B214" s="19" t="s">
        <v>423</v>
      </c>
      <c r="C214" s="15" t="s">
        <v>605</v>
      </c>
      <c r="D214" s="15" t="s">
        <v>606</v>
      </c>
      <c r="E214" s="16" t="s">
        <v>13</v>
      </c>
      <c r="F214" s="17" t="s">
        <v>14</v>
      </c>
      <c r="G214" s="17" t="s">
        <v>15</v>
      </c>
      <c r="H214" s="17" t="s">
        <v>16</v>
      </c>
      <c r="I214" s="15" t="s">
        <v>607</v>
      </c>
    </row>
    <row r="215" ht="126" customHeight="1" spans="1:9">
      <c r="A215" s="13">
        <v>213</v>
      </c>
      <c r="B215" s="19" t="s">
        <v>423</v>
      </c>
      <c r="C215" s="15" t="s">
        <v>608</v>
      </c>
      <c r="D215" s="15" t="s">
        <v>609</v>
      </c>
      <c r="E215" s="16" t="s">
        <v>13</v>
      </c>
      <c r="F215" s="17" t="s">
        <v>14</v>
      </c>
      <c r="G215" s="17" t="s">
        <v>15</v>
      </c>
      <c r="H215" s="17" t="s">
        <v>16</v>
      </c>
      <c r="I215" s="15" t="s">
        <v>610</v>
      </c>
    </row>
    <row r="216" ht="126" customHeight="1" spans="1:9">
      <c r="A216" s="13">
        <v>214</v>
      </c>
      <c r="B216" s="19" t="s">
        <v>423</v>
      </c>
      <c r="C216" s="15" t="s">
        <v>611</v>
      </c>
      <c r="D216" s="15" t="s">
        <v>612</v>
      </c>
      <c r="E216" s="16" t="s">
        <v>13</v>
      </c>
      <c r="F216" s="17" t="s">
        <v>14</v>
      </c>
      <c r="G216" s="17" t="s">
        <v>15</v>
      </c>
      <c r="H216" s="17" t="s">
        <v>16</v>
      </c>
      <c r="I216" s="15" t="s">
        <v>613</v>
      </c>
    </row>
    <row r="217" ht="126" customHeight="1" spans="1:9">
      <c r="A217" s="13">
        <v>215</v>
      </c>
      <c r="B217" s="19" t="s">
        <v>423</v>
      </c>
      <c r="C217" s="15" t="s">
        <v>614</v>
      </c>
      <c r="D217" s="15" t="s">
        <v>615</v>
      </c>
      <c r="E217" s="16" t="s">
        <v>13</v>
      </c>
      <c r="F217" s="17" t="s">
        <v>14</v>
      </c>
      <c r="G217" s="17" t="s">
        <v>15</v>
      </c>
      <c r="H217" s="17" t="s">
        <v>16</v>
      </c>
      <c r="I217" s="15" t="s">
        <v>616</v>
      </c>
    </row>
    <row r="218" ht="126" customHeight="1" spans="1:9">
      <c r="A218" s="13">
        <v>216</v>
      </c>
      <c r="B218" s="19" t="s">
        <v>423</v>
      </c>
      <c r="C218" s="15" t="s">
        <v>617</v>
      </c>
      <c r="D218" s="15" t="s">
        <v>618</v>
      </c>
      <c r="E218" s="16" t="s">
        <v>13</v>
      </c>
      <c r="F218" s="17" t="s">
        <v>14</v>
      </c>
      <c r="G218" s="17" t="s">
        <v>15</v>
      </c>
      <c r="H218" s="17" t="s">
        <v>16</v>
      </c>
      <c r="I218" s="15" t="s">
        <v>619</v>
      </c>
    </row>
    <row r="219" ht="126" customHeight="1" spans="1:9">
      <c r="A219" s="13">
        <v>217</v>
      </c>
      <c r="B219" s="19" t="s">
        <v>423</v>
      </c>
      <c r="C219" s="15" t="s">
        <v>620</v>
      </c>
      <c r="D219" s="15" t="s">
        <v>621</v>
      </c>
      <c r="E219" s="16" t="s">
        <v>13</v>
      </c>
      <c r="F219" s="17" t="s">
        <v>14</v>
      </c>
      <c r="G219" s="17" t="s">
        <v>15</v>
      </c>
      <c r="H219" s="17" t="s">
        <v>16</v>
      </c>
      <c r="I219" s="15" t="s">
        <v>622</v>
      </c>
    </row>
    <row r="220" ht="126" customHeight="1" spans="1:9">
      <c r="A220" s="13">
        <v>218</v>
      </c>
      <c r="B220" s="19" t="s">
        <v>423</v>
      </c>
      <c r="C220" s="15" t="s">
        <v>623</v>
      </c>
      <c r="D220" s="15" t="s">
        <v>624</v>
      </c>
      <c r="E220" s="16" t="s">
        <v>13</v>
      </c>
      <c r="F220" s="17" t="s">
        <v>14</v>
      </c>
      <c r="G220" s="17" t="s">
        <v>15</v>
      </c>
      <c r="H220" s="17" t="s">
        <v>16</v>
      </c>
      <c r="I220" s="15" t="s">
        <v>625</v>
      </c>
    </row>
    <row r="221" ht="126" customHeight="1" spans="1:9">
      <c r="A221" s="13">
        <v>219</v>
      </c>
      <c r="B221" s="19" t="s">
        <v>423</v>
      </c>
      <c r="C221" s="15" t="s">
        <v>626</v>
      </c>
      <c r="D221" s="15" t="s">
        <v>627</v>
      </c>
      <c r="E221" s="16" t="s">
        <v>13</v>
      </c>
      <c r="F221" s="17" t="s">
        <v>14</v>
      </c>
      <c r="G221" s="17" t="s">
        <v>15</v>
      </c>
      <c r="H221" s="17" t="s">
        <v>16</v>
      </c>
      <c r="I221" s="15" t="s">
        <v>628</v>
      </c>
    </row>
    <row r="222" ht="126" customHeight="1" spans="1:9">
      <c r="A222" s="13">
        <v>220</v>
      </c>
      <c r="B222" s="19" t="s">
        <v>423</v>
      </c>
      <c r="C222" s="15" t="s">
        <v>629</v>
      </c>
      <c r="D222" s="15" t="s">
        <v>630</v>
      </c>
      <c r="E222" s="16" t="s">
        <v>13</v>
      </c>
      <c r="F222" s="17" t="s">
        <v>14</v>
      </c>
      <c r="G222" s="17" t="s">
        <v>15</v>
      </c>
      <c r="H222" s="17" t="s">
        <v>16</v>
      </c>
      <c r="I222" s="15" t="s">
        <v>631</v>
      </c>
    </row>
  </sheetData>
  <mergeCells count="1">
    <mergeCell ref="A1:I1"/>
  </mergeCells>
  <dataValidations count="2">
    <dataValidation type="list" sqref="E3:E222">
      <formula1>"Đạt,Không đạt,Bị chặn,Chưa thực hiện"</formula1>
    </dataValidation>
    <dataValidation type="list" sqref="F3:F222">
      <formula1>"Thủ công,Tự động"</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showGridLines="0" workbookViewId="0">
      <selection activeCell="A1" sqref="A1:D1"/>
    </sheetView>
  </sheetViews>
  <sheetFormatPr defaultColWidth="9" defaultRowHeight="13.8" outlineLevelCol="4"/>
  <cols>
    <col min="1" max="1" width="30" customWidth="1"/>
    <col min="2" max="2" width="16" customWidth="1"/>
    <col min="3" max="3" width="4" customWidth="1"/>
    <col min="4" max="4" width="20" customWidth="1"/>
    <col min="5" max="5" width="16" customWidth="1"/>
  </cols>
  <sheetData>
    <row r="1" ht="32" customHeight="1" spans="1:5">
      <c r="A1" s="1" t="s">
        <v>632</v>
      </c>
      <c r="B1" s="1"/>
      <c r="C1" s="1"/>
      <c r="D1" s="1"/>
    </row>
    <row r="3" ht="14.4" spans="1:5">
      <c r="A3" s="2" t="s">
        <v>633</v>
      </c>
      <c r="B3" s="2" t="s">
        <v>634</v>
      </c>
      <c r="D3" s="2" t="s">
        <v>2</v>
      </c>
      <c r="E3" s="2" t="s">
        <v>635</v>
      </c>
    </row>
    <row r="4" ht="14.4" spans="1:5">
      <c r="A4" s="3" t="s">
        <v>636</v>
      </c>
      <c r="B4" s="4">
        <f>COUNTA('Test Cases'!A3:A222)</f>
        <v>220</v>
      </c>
      <c r="D4" s="5" t="s">
        <v>10</v>
      </c>
      <c r="E4" s="4">
        <f>COUNTIF('Test Cases'!B3:B222,"Guest")</f>
        <v>25</v>
      </c>
    </row>
    <row r="5" ht="14.4" spans="1:5">
      <c r="A5" s="3" t="s">
        <v>14</v>
      </c>
      <c r="B5" s="4">
        <f>COUNTIF('Test Cases'!F3:F222,"Thủ công")</f>
        <v>220</v>
      </c>
      <c r="D5" s="5" t="s">
        <v>90</v>
      </c>
      <c r="E5" s="4">
        <f>COUNTIF('Test Cases'!B3:B222,"User")</f>
        <v>36</v>
      </c>
    </row>
    <row r="6" ht="14.4" spans="1:5">
      <c r="A6" s="3" t="s">
        <v>637</v>
      </c>
      <c r="B6" s="4">
        <f>COUNTIF('Test Cases'!F3:F222,"Tự động")</f>
        <v>0</v>
      </c>
      <c r="D6" s="5" t="s">
        <v>199</v>
      </c>
      <c r="E6" s="4">
        <f>COUNTIF('Test Cases'!B3:B222,"Journalist")</f>
        <v>25</v>
      </c>
    </row>
    <row r="7" ht="14.4" spans="1:5">
      <c r="A7" s="3" t="s">
        <v>13</v>
      </c>
      <c r="B7" s="4">
        <f>COUNTIF('Test Cases'!E3:E222,"Đạt")</f>
        <v>219</v>
      </c>
      <c r="D7" s="5" t="s">
        <v>275</v>
      </c>
      <c r="E7" s="4">
        <f>COUNTIF('Test Cases'!B3:B222,"Staff")</f>
        <v>49</v>
      </c>
    </row>
    <row r="8" ht="14.4" spans="1:5">
      <c r="A8" s="3" t="s">
        <v>638</v>
      </c>
      <c r="B8" s="4">
        <f>COUNTIF('Test Cases'!E3:E222,"Không đạt")</f>
        <v>0</v>
      </c>
      <c r="D8" s="6" t="s">
        <v>423</v>
      </c>
      <c r="E8" s="7">
        <f>COUNTIF('Test Cases'!B3:B222,"Admin")</f>
        <v>85</v>
      </c>
    </row>
    <row r="9" ht="14.4" spans="1:5">
      <c r="A9" s="3" t="s">
        <v>639</v>
      </c>
      <c r="B9" s="4">
        <f>COUNTIF('Test Cases'!E3:E222,"Bị chặn")</f>
        <v>0</v>
      </c>
    </row>
    <row r="10" ht="14.4" spans="1:5">
      <c r="A10" s="3" t="s">
        <v>640</v>
      </c>
      <c r="B10" s="4">
        <f>COUNTBLANK('Test Cases'!E3:E222)</f>
        <v>0</v>
      </c>
    </row>
    <row r="11" ht="14.4" spans="1:5">
      <c r="A11" s="8" t="s">
        <v>641</v>
      </c>
      <c r="B11" s="7">
        <f>COUNTA('Test Cases'!E3:E222)</f>
        <v>220</v>
      </c>
    </row>
    <row r="13" ht="14.4" spans="1:5">
      <c r="A13" s="9" t="s">
        <v>642</v>
      </c>
      <c r="B13" s="9"/>
      <c r="C13" s="9"/>
      <c r="D13" s="9"/>
      <c r="E13" s="9"/>
    </row>
    <row r="14" ht="23" customHeight="1" spans="1:5">
      <c r="A14" s="10" t="s">
        <v>643</v>
      </c>
      <c r="B14" s="10"/>
      <c r="C14" s="10"/>
      <c r="D14" s="10"/>
      <c r="E14" s="10"/>
    </row>
    <row r="15" ht="23" customHeight="1" spans="1:5">
      <c r="A15" s="10"/>
      <c r="B15" s="10"/>
      <c r="C15" s="10"/>
      <c r="D15" s="10"/>
      <c r="E15" s="10"/>
    </row>
    <row r="16" ht="23" customHeight="1" spans="1:5">
      <c r="A16" s="10"/>
      <c r="B16" s="10"/>
      <c r="C16" s="10"/>
      <c r="D16" s="10"/>
      <c r="E16" s="10"/>
    </row>
    <row r="17" ht="23" customHeight="1" spans="1:5">
      <c r="A17" s="10"/>
      <c r="B17" s="10"/>
      <c r="C17" s="10"/>
      <c r="D17" s="10"/>
      <c r="E17" s="10"/>
    </row>
    <row r="18" ht="23" customHeight="1" spans="1:5">
      <c r="A18" s="10"/>
      <c r="B18" s="10"/>
      <c r="C18" s="10"/>
      <c r="D18" s="10"/>
      <c r="E18" s="10"/>
    </row>
  </sheetData>
  <mergeCells count="3">
    <mergeCell ref="A1:D1"/>
    <mergeCell ref="A13:E13"/>
    <mergeCell ref="A14:E1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Test Cases</vt:lpstr>
      <vt:lpstr>Tổng quan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Yên Trần Nguyễn Bình</cp:lastModifiedBy>
  <dcterms:created xsi:type="dcterms:W3CDTF">2026-08-03T14:46:00Z</dcterms:created>
  <dcterms:modified xsi:type="dcterms:W3CDTF">2026-08-03T15:23:25Z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3835B14E425A42208DBCAB2CD11CB878_12</vt:lpwstr>
  </property>
  <property fmtid="{D5CDD505-2E9C-101B-9397-08002B2CF9AE}" pid="3" name="KSOProductBuildVer">
    <vt:lpwstr>1033-12.1.0.26880</vt:lpwstr>
  </property>
  <property fmtid="{D5CDD505-2E9C-101B-9397-08002B2CF9AE}" pid="4" name="CalculationRule">
    <vt:i4>0</vt:i4>
  </property>
</Properties>
</file>